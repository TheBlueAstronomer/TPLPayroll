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ffrey\Downloads\"/>
    </mc:Choice>
  </mc:AlternateContent>
  <xr:revisionPtr revIDLastSave="0" documentId="13_ncr:1_{3AB13AAC-19F7-4972-B985-94C1E0F74EDF}" xr6:coauthVersionLast="47" xr6:coauthVersionMax="47" xr10:uidLastSave="{00000000-0000-0000-0000-000000000000}"/>
  <bookViews>
    <workbookView xWindow="11235" yWindow="-16320" windowWidth="29040" windowHeight="15720" xr2:uid="{00000000-000D-0000-FFFF-FFFF00000000}"/>
  </bookViews>
  <sheets>
    <sheet name="Employee Master List" sheetId="2" r:id="rId1"/>
    <sheet name="Row_House" sheetId="4" state="hidden" r:id="rId2"/>
    <sheet name="193 - 253" sheetId="5" state="hidden" r:id="rId3"/>
    <sheet name="Payroll Summary" sheetId="6" state="hidden" r:id="rId4"/>
    <sheet name="payslip extract v1" sheetId="7" state="hidden" r:id="rId5"/>
    <sheet name="payslip extract v2" sheetId="8" state="hidden" r:id="rId6"/>
    <sheet name="123 - 183" sheetId="9" state="hidden" r:id="rId7"/>
    <sheet name="53 - 113" sheetId="10" state="hidden" r:id="rId8"/>
    <sheet name="Payroll v2" sheetId="11" state="hidden" r:id="rId9"/>
  </sheets>
  <definedNames>
    <definedName name="_xlnm._FilterDatabase" localSheetId="0" hidden="1">'Employee Master List'!$A$1:$S$98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6" i="11" l="1"/>
  <c r="J46" i="11"/>
  <c r="J44" i="11"/>
  <c r="K44" i="11" s="1"/>
  <c r="J43" i="11"/>
  <c r="K43" i="11" s="1"/>
  <c r="J42" i="11"/>
  <c r="K42" i="11" s="1"/>
  <c r="J41" i="11"/>
  <c r="J40" i="11"/>
  <c r="K40" i="11" s="1"/>
  <c r="K39" i="11"/>
  <c r="K46" i="11" s="1"/>
  <c r="J39" i="11"/>
  <c r="J38" i="11"/>
  <c r="J34" i="11"/>
  <c r="J32" i="11"/>
  <c r="K32" i="11" s="1"/>
  <c r="K31" i="11"/>
  <c r="J31" i="11"/>
  <c r="J30" i="11"/>
  <c r="K30" i="11" s="1"/>
  <c r="J29" i="11"/>
  <c r="J28" i="11"/>
  <c r="K28" i="11" s="1"/>
  <c r="J27" i="11"/>
  <c r="K27" i="11" s="1"/>
  <c r="J26" i="11"/>
  <c r="K26" i="11" s="1"/>
  <c r="J22" i="11"/>
  <c r="J20" i="11"/>
  <c r="K20" i="11" s="1"/>
  <c r="K19" i="11"/>
  <c r="J19" i="11"/>
  <c r="K18" i="11"/>
  <c r="J18" i="11"/>
  <c r="J17" i="11"/>
  <c r="J16" i="11"/>
  <c r="K16" i="11" s="1"/>
  <c r="K15" i="11"/>
  <c r="J15" i="11"/>
  <c r="J14" i="11"/>
  <c r="K14" i="11" s="1"/>
  <c r="J10" i="11"/>
  <c r="K8" i="11"/>
  <c r="J8" i="11"/>
  <c r="K7" i="11"/>
  <c r="J7" i="11"/>
  <c r="J6" i="11"/>
  <c r="K6" i="11" s="1"/>
  <c r="J5" i="11"/>
  <c r="J4" i="11"/>
  <c r="K4" i="11" s="1"/>
  <c r="K3" i="11"/>
  <c r="J3" i="11"/>
  <c r="J2" i="11"/>
  <c r="K2" i="11" s="1"/>
  <c r="J358" i="10"/>
  <c r="J356" i="10"/>
  <c r="K356" i="10" s="1"/>
  <c r="K355" i="10"/>
  <c r="J355" i="10"/>
  <c r="K354" i="10"/>
  <c r="J354" i="10"/>
  <c r="J353" i="10"/>
  <c r="J352" i="10"/>
  <c r="K352" i="10" s="1"/>
  <c r="J351" i="10"/>
  <c r="K351" i="10" s="1"/>
  <c r="K350" i="10"/>
  <c r="J350" i="10"/>
  <c r="J346" i="10"/>
  <c r="K344" i="10"/>
  <c r="J344" i="10"/>
  <c r="K343" i="10"/>
  <c r="J343" i="10"/>
  <c r="J342" i="10"/>
  <c r="K342" i="10" s="1"/>
  <c r="J341" i="10"/>
  <c r="K340" i="10"/>
  <c r="J340" i="10"/>
  <c r="J339" i="10"/>
  <c r="J338" i="10"/>
  <c r="J332" i="10"/>
  <c r="K332" i="10" s="1"/>
  <c r="J331" i="10"/>
  <c r="K331" i="10" s="1"/>
  <c r="K334" i="10" s="1"/>
  <c r="J330" i="10"/>
  <c r="J329" i="10"/>
  <c r="J334" i="10" s="1"/>
  <c r="J335" i="10" s="1"/>
  <c r="J328" i="10"/>
  <c r="J327" i="10"/>
  <c r="J326" i="10"/>
  <c r="J320" i="10"/>
  <c r="K320" i="10" s="1"/>
  <c r="J319" i="10"/>
  <c r="K319" i="10" s="1"/>
  <c r="J318" i="10"/>
  <c r="K318" i="10" s="1"/>
  <c r="J317" i="10"/>
  <c r="K316" i="10"/>
  <c r="J316" i="10"/>
  <c r="J315" i="10"/>
  <c r="J322" i="10" s="1"/>
  <c r="J314" i="10"/>
  <c r="J310" i="10"/>
  <c r="J308" i="10"/>
  <c r="K308" i="10" s="1"/>
  <c r="J307" i="10"/>
  <c r="K307" i="10" s="1"/>
  <c r="J306" i="10"/>
  <c r="K306" i="10" s="1"/>
  <c r="J305" i="10"/>
  <c r="K304" i="10"/>
  <c r="J304" i="10"/>
  <c r="K303" i="10"/>
  <c r="J303" i="10"/>
  <c r="J302" i="10"/>
  <c r="K302" i="10" s="1"/>
  <c r="J298" i="10"/>
  <c r="J296" i="10"/>
  <c r="K296" i="10" s="1"/>
  <c r="J295" i="10"/>
  <c r="K295" i="10" s="1"/>
  <c r="J294" i="10"/>
  <c r="K294" i="10" s="1"/>
  <c r="J293" i="10"/>
  <c r="J292" i="10"/>
  <c r="K292" i="10" s="1"/>
  <c r="J291" i="10"/>
  <c r="K291" i="10" s="1"/>
  <c r="K290" i="10"/>
  <c r="J290" i="10"/>
  <c r="J286" i="10"/>
  <c r="J284" i="10"/>
  <c r="K284" i="10" s="1"/>
  <c r="K283" i="10"/>
  <c r="J283" i="10"/>
  <c r="J282" i="10"/>
  <c r="K282" i="10" s="1"/>
  <c r="J281" i="10"/>
  <c r="K280" i="10"/>
  <c r="J280" i="10"/>
  <c r="K279" i="10"/>
  <c r="J279" i="10"/>
  <c r="K278" i="10"/>
  <c r="K286" i="10" s="1"/>
  <c r="J278" i="10"/>
  <c r="J274" i="10"/>
  <c r="J272" i="10"/>
  <c r="K272" i="10" s="1"/>
  <c r="J271" i="10"/>
  <c r="K271" i="10" s="1"/>
  <c r="J270" i="10"/>
  <c r="K270" i="10" s="1"/>
  <c r="J269" i="10"/>
  <c r="K268" i="10"/>
  <c r="J268" i="10"/>
  <c r="K267" i="10"/>
  <c r="J267" i="10"/>
  <c r="J266" i="10"/>
  <c r="K266" i="10" s="1"/>
  <c r="K274" i="10" s="1"/>
  <c r="J275" i="10" s="1"/>
  <c r="J260" i="10"/>
  <c r="K260" i="10" s="1"/>
  <c r="J259" i="10"/>
  <c r="K259" i="10" s="1"/>
  <c r="J258" i="10"/>
  <c r="K258" i="10" s="1"/>
  <c r="J257" i="10"/>
  <c r="J256" i="10"/>
  <c r="K256" i="10" s="1"/>
  <c r="J255" i="10"/>
  <c r="K255" i="10" s="1"/>
  <c r="K262" i="10" s="1"/>
  <c r="J254" i="10"/>
  <c r="J262" i="10" s="1"/>
  <c r="J250" i="10"/>
  <c r="K248" i="10"/>
  <c r="J248" i="10"/>
  <c r="K247" i="10"/>
  <c r="J247" i="10"/>
  <c r="J246" i="10"/>
  <c r="K246" i="10" s="1"/>
  <c r="J245" i="10"/>
  <c r="J244" i="10"/>
  <c r="K244" i="10" s="1"/>
  <c r="J243" i="10"/>
  <c r="K243" i="10" s="1"/>
  <c r="J242" i="10"/>
  <c r="K242" i="10" s="1"/>
  <c r="J238" i="10"/>
  <c r="J236" i="10"/>
  <c r="K236" i="10" s="1"/>
  <c r="J235" i="10"/>
  <c r="K235" i="10" s="1"/>
  <c r="K234" i="10"/>
  <c r="J234" i="10"/>
  <c r="J233" i="10"/>
  <c r="J232" i="10"/>
  <c r="K232" i="10" s="1"/>
  <c r="J231" i="10"/>
  <c r="K231" i="10" s="1"/>
  <c r="K230" i="10"/>
  <c r="J230" i="10"/>
  <c r="J226" i="10"/>
  <c r="K224" i="10"/>
  <c r="J224" i="10"/>
  <c r="K223" i="10"/>
  <c r="J223" i="10"/>
  <c r="K222" i="10"/>
  <c r="J222" i="10"/>
  <c r="J221" i="10"/>
  <c r="K220" i="10"/>
  <c r="J220" i="10"/>
  <c r="J219" i="10"/>
  <c r="K219" i="10" s="1"/>
  <c r="J218" i="10"/>
  <c r="K218" i="10" s="1"/>
  <c r="K226" i="10" s="1"/>
  <c r="J214" i="10"/>
  <c r="K212" i="10"/>
  <c r="J212" i="10"/>
  <c r="K211" i="10"/>
  <c r="J211" i="10"/>
  <c r="J210" i="10"/>
  <c r="K210" i="10" s="1"/>
  <c r="J209" i="10"/>
  <c r="J208" i="10"/>
  <c r="K208" i="10" s="1"/>
  <c r="J207" i="10"/>
  <c r="K207" i="10" s="1"/>
  <c r="J206" i="10"/>
  <c r="K206" i="10" s="1"/>
  <c r="J202" i="10"/>
  <c r="J200" i="10"/>
  <c r="K200" i="10" s="1"/>
  <c r="K199" i="10"/>
  <c r="J199" i="10"/>
  <c r="K198" i="10"/>
  <c r="J198" i="10"/>
  <c r="J197" i="10"/>
  <c r="J196" i="10"/>
  <c r="K196" i="10" s="1"/>
  <c r="J195" i="10"/>
  <c r="K195" i="10" s="1"/>
  <c r="J194" i="10"/>
  <c r="K194" i="10" s="1"/>
  <c r="K202" i="10" s="1"/>
  <c r="J203" i="10" s="1"/>
  <c r="J190" i="10"/>
  <c r="K188" i="10"/>
  <c r="J188" i="10"/>
  <c r="K187" i="10"/>
  <c r="J187" i="10"/>
  <c r="K186" i="10"/>
  <c r="J186" i="10"/>
  <c r="J185" i="10"/>
  <c r="J184" i="10"/>
  <c r="K184" i="10" s="1"/>
  <c r="J183" i="10"/>
  <c r="K183" i="10" s="1"/>
  <c r="J182" i="10"/>
  <c r="K182" i="10" s="1"/>
  <c r="J178" i="10"/>
  <c r="J179" i="10" s="1"/>
  <c r="K176" i="10"/>
  <c r="J176" i="10"/>
  <c r="K175" i="10"/>
  <c r="J175" i="10"/>
  <c r="J174" i="10"/>
  <c r="K174" i="10" s="1"/>
  <c r="J173" i="10"/>
  <c r="J172" i="10"/>
  <c r="K172" i="10" s="1"/>
  <c r="J171" i="10"/>
  <c r="K171" i="10" s="1"/>
  <c r="J170" i="10"/>
  <c r="K170" i="10" s="1"/>
  <c r="K178" i="10" s="1"/>
  <c r="J166" i="10"/>
  <c r="J164" i="10"/>
  <c r="K164" i="10" s="1"/>
  <c r="K163" i="10"/>
  <c r="J163" i="10"/>
  <c r="K162" i="10"/>
  <c r="J162" i="10"/>
  <c r="J161" i="10"/>
  <c r="J160" i="10"/>
  <c r="K160" i="10" s="1"/>
  <c r="J159" i="10"/>
  <c r="K159" i="10" s="1"/>
  <c r="J158" i="10"/>
  <c r="K158" i="10" s="1"/>
  <c r="K166" i="10" s="1"/>
  <c r="J167" i="10" s="1"/>
  <c r="J154" i="10"/>
  <c r="J155" i="10" s="1"/>
  <c r="K152" i="10"/>
  <c r="J152" i="10"/>
  <c r="K151" i="10"/>
  <c r="J151" i="10"/>
  <c r="K150" i="10"/>
  <c r="J150" i="10"/>
  <c r="J149" i="10"/>
  <c r="J148" i="10"/>
  <c r="K148" i="10" s="1"/>
  <c r="J147" i="10"/>
  <c r="K147" i="10" s="1"/>
  <c r="J146" i="10"/>
  <c r="K146" i="10" s="1"/>
  <c r="K154" i="10" s="1"/>
  <c r="J142" i="10"/>
  <c r="K140" i="10"/>
  <c r="J140" i="10"/>
  <c r="K139" i="10"/>
  <c r="J139" i="10"/>
  <c r="J138" i="10"/>
  <c r="K138" i="10" s="1"/>
  <c r="J137" i="10"/>
  <c r="J136" i="10"/>
  <c r="K136" i="10" s="1"/>
  <c r="J135" i="10"/>
  <c r="K135" i="10" s="1"/>
  <c r="J134" i="10"/>
  <c r="K134" i="10" s="1"/>
  <c r="J130" i="10"/>
  <c r="J128" i="10"/>
  <c r="K128" i="10" s="1"/>
  <c r="K127" i="10"/>
  <c r="J127" i="10"/>
  <c r="K126" i="10"/>
  <c r="J126" i="10"/>
  <c r="J125" i="10"/>
  <c r="J124" i="10"/>
  <c r="K124" i="10" s="1"/>
  <c r="J123" i="10"/>
  <c r="K123" i="10" s="1"/>
  <c r="J122" i="10"/>
  <c r="K122" i="10" s="1"/>
  <c r="J118" i="10"/>
  <c r="K116" i="10"/>
  <c r="J116" i="10"/>
  <c r="K115" i="10"/>
  <c r="J115" i="10"/>
  <c r="K114" i="10"/>
  <c r="J114" i="10"/>
  <c r="J113" i="10"/>
  <c r="J112" i="10"/>
  <c r="K112" i="10" s="1"/>
  <c r="J111" i="10"/>
  <c r="K111" i="10" s="1"/>
  <c r="J110" i="10"/>
  <c r="K110" i="10" s="1"/>
  <c r="K118" i="10" s="1"/>
  <c r="J119" i="10" s="1"/>
  <c r="J106" i="10"/>
  <c r="K104" i="10"/>
  <c r="J104" i="10"/>
  <c r="K103" i="10"/>
  <c r="J103" i="10"/>
  <c r="J102" i="10"/>
  <c r="K102" i="10" s="1"/>
  <c r="J101" i="10"/>
  <c r="J100" i="10"/>
  <c r="K100" i="10" s="1"/>
  <c r="J99" i="10"/>
  <c r="K99" i="10" s="1"/>
  <c r="J98" i="10"/>
  <c r="K98" i="10" s="1"/>
  <c r="J94" i="10"/>
  <c r="J92" i="10"/>
  <c r="K92" i="10" s="1"/>
  <c r="K91" i="10"/>
  <c r="J91" i="10"/>
  <c r="K90" i="10"/>
  <c r="J90" i="10"/>
  <c r="J89" i="10"/>
  <c r="J88" i="10"/>
  <c r="K88" i="10" s="1"/>
  <c r="J87" i="10"/>
  <c r="K87" i="10" s="1"/>
  <c r="J86" i="10"/>
  <c r="K86" i="10" s="1"/>
  <c r="K80" i="10"/>
  <c r="J80" i="10"/>
  <c r="K79" i="10"/>
  <c r="J79" i="10"/>
  <c r="J78" i="10"/>
  <c r="J77" i="10"/>
  <c r="K76" i="10"/>
  <c r="J76" i="10"/>
  <c r="J75" i="10"/>
  <c r="K75" i="10" s="1"/>
  <c r="J74" i="10"/>
  <c r="K74" i="10" s="1"/>
  <c r="K82" i="10" s="1"/>
  <c r="J68" i="10"/>
  <c r="K68" i="10" s="1"/>
  <c r="J67" i="10"/>
  <c r="K67" i="10" s="1"/>
  <c r="J66" i="10"/>
  <c r="J65" i="10"/>
  <c r="K64" i="10"/>
  <c r="J64" i="10"/>
  <c r="J63" i="10"/>
  <c r="K63" i="10" s="1"/>
  <c r="J62" i="10"/>
  <c r="K62" i="10" s="1"/>
  <c r="J58" i="10"/>
  <c r="K56" i="10"/>
  <c r="J56" i="10"/>
  <c r="J55" i="10"/>
  <c r="K55" i="10" s="1"/>
  <c r="J54" i="10"/>
  <c r="K54" i="10" s="1"/>
  <c r="J53" i="10"/>
  <c r="J52" i="10"/>
  <c r="K52" i="10" s="1"/>
  <c r="J51" i="10"/>
  <c r="K51" i="10" s="1"/>
  <c r="J50" i="10"/>
  <c r="K50" i="10" s="1"/>
  <c r="K58" i="10" s="1"/>
  <c r="J46" i="10"/>
  <c r="J44" i="10"/>
  <c r="K44" i="10" s="1"/>
  <c r="K43" i="10"/>
  <c r="J43" i="10"/>
  <c r="K42" i="10"/>
  <c r="J42" i="10"/>
  <c r="J41" i="10"/>
  <c r="J40" i="10"/>
  <c r="K40" i="10" s="1"/>
  <c r="J39" i="10"/>
  <c r="K39" i="10" s="1"/>
  <c r="J38" i="10"/>
  <c r="K38" i="10" s="1"/>
  <c r="J34" i="10"/>
  <c r="K32" i="10"/>
  <c r="J32" i="10"/>
  <c r="K31" i="10"/>
  <c r="J31" i="10"/>
  <c r="K30" i="10"/>
  <c r="J30" i="10"/>
  <c r="J29" i="10"/>
  <c r="J28" i="10"/>
  <c r="K28" i="10" s="1"/>
  <c r="J27" i="10"/>
  <c r="K27" i="10" s="1"/>
  <c r="J26" i="10"/>
  <c r="K26" i="10" s="1"/>
  <c r="J22" i="10"/>
  <c r="K20" i="10"/>
  <c r="J20" i="10"/>
  <c r="J19" i="10"/>
  <c r="K19" i="10" s="1"/>
  <c r="J18" i="10"/>
  <c r="K18" i="10" s="1"/>
  <c r="J17" i="10"/>
  <c r="J16" i="10"/>
  <c r="K16" i="10" s="1"/>
  <c r="J15" i="10"/>
  <c r="K15" i="10" s="1"/>
  <c r="J14" i="10"/>
  <c r="K14" i="10" s="1"/>
  <c r="J10" i="10"/>
  <c r="J8" i="10"/>
  <c r="K8" i="10" s="1"/>
  <c r="K7" i="10"/>
  <c r="J7" i="10"/>
  <c r="K6" i="10"/>
  <c r="J6" i="10"/>
  <c r="J5" i="10"/>
  <c r="J4" i="10"/>
  <c r="K4" i="10" s="1"/>
  <c r="J3" i="10"/>
  <c r="K3" i="10" s="1"/>
  <c r="J2" i="10"/>
  <c r="K2" i="10" s="1"/>
  <c r="K525" i="9"/>
  <c r="J525" i="9"/>
  <c r="K524" i="9"/>
  <c r="J524" i="9"/>
  <c r="J523" i="9"/>
  <c r="J522" i="9"/>
  <c r="J521" i="9"/>
  <c r="K521" i="9" s="1"/>
  <c r="J520" i="9"/>
  <c r="K520" i="9" s="1"/>
  <c r="K519" i="9"/>
  <c r="K527" i="9" s="1"/>
  <c r="J519" i="9"/>
  <c r="J527" i="9" s="1"/>
  <c r="J515" i="9"/>
  <c r="J513" i="9"/>
  <c r="K513" i="9" s="1"/>
  <c r="K515" i="9" s="1"/>
  <c r="J512" i="9"/>
  <c r="J511" i="9"/>
  <c r="J510" i="9"/>
  <c r="J509" i="9"/>
  <c r="J508" i="9"/>
  <c r="J507" i="9"/>
  <c r="K501" i="9"/>
  <c r="K503" i="9" s="1"/>
  <c r="J501" i="9"/>
  <c r="J500" i="9"/>
  <c r="J499" i="9"/>
  <c r="J498" i="9"/>
  <c r="J497" i="9"/>
  <c r="J496" i="9"/>
  <c r="J495" i="9"/>
  <c r="J503" i="9" s="1"/>
  <c r="J489" i="9"/>
  <c r="K489" i="9" s="1"/>
  <c r="J488" i="9"/>
  <c r="J491" i="9" s="1"/>
  <c r="J487" i="9"/>
  <c r="J486" i="9"/>
  <c r="J485" i="9"/>
  <c r="J484" i="9"/>
  <c r="K484" i="9" s="1"/>
  <c r="K483" i="9"/>
  <c r="J483" i="9"/>
  <c r="J479" i="9"/>
  <c r="J477" i="9"/>
  <c r="K477" i="9" s="1"/>
  <c r="J476" i="9"/>
  <c r="K476" i="9" s="1"/>
  <c r="J475" i="9"/>
  <c r="J474" i="9"/>
  <c r="J473" i="9"/>
  <c r="K472" i="9"/>
  <c r="J472" i="9"/>
  <c r="K471" i="9"/>
  <c r="K479" i="9" s="1"/>
  <c r="J471" i="9"/>
  <c r="L467" i="9"/>
  <c r="J465" i="9"/>
  <c r="K465" i="9" s="1"/>
  <c r="J464" i="9"/>
  <c r="K464" i="9" s="1"/>
  <c r="J463" i="9"/>
  <c r="J462" i="9"/>
  <c r="K461" i="9"/>
  <c r="J461" i="9"/>
  <c r="K460" i="9"/>
  <c r="K467" i="9" s="1"/>
  <c r="J460" i="9"/>
  <c r="J459" i="9"/>
  <c r="J467" i="9" s="1"/>
  <c r="L455" i="9"/>
  <c r="J453" i="9"/>
  <c r="K453" i="9" s="1"/>
  <c r="J452" i="9"/>
  <c r="K452" i="9" s="1"/>
  <c r="J451" i="9"/>
  <c r="J450" i="9"/>
  <c r="J449" i="9"/>
  <c r="J455" i="9" s="1"/>
  <c r="K448" i="9"/>
  <c r="J448" i="9"/>
  <c r="J447" i="9"/>
  <c r="L443" i="9"/>
  <c r="K441" i="9"/>
  <c r="J441" i="9"/>
  <c r="K440" i="9"/>
  <c r="J440" i="9"/>
  <c r="K439" i="9"/>
  <c r="J439" i="9"/>
  <c r="J438" i="9"/>
  <c r="J437" i="9"/>
  <c r="K437" i="9" s="1"/>
  <c r="J436" i="9"/>
  <c r="K436" i="9" s="1"/>
  <c r="J435" i="9"/>
  <c r="J443" i="9" s="1"/>
  <c r="L431" i="9"/>
  <c r="K429" i="9"/>
  <c r="J429" i="9"/>
  <c r="J428" i="9"/>
  <c r="K428" i="9" s="1"/>
  <c r="K431" i="9" s="1"/>
  <c r="J427" i="9"/>
  <c r="J426" i="9"/>
  <c r="K425" i="9"/>
  <c r="J425" i="9"/>
  <c r="K424" i="9"/>
  <c r="J424" i="9"/>
  <c r="J423" i="9"/>
  <c r="J431" i="9" s="1"/>
  <c r="L419" i="9"/>
  <c r="J417" i="9"/>
  <c r="K417" i="9" s="1"/>
  <c r="J416" i="9"/>
  <c r="K416" i="9" s="1"/>
  <c r="J415" i="9"/>
  <c r="J414" i="9"/>
  <c r="J413" i="9"/>
  <c r="K413" i="9" s="1"/>
  <c r="J412" i="9"/>
  <c r="K412" i="9" s="1"/>
  <c r="K419" i="9" s="1"/>
  <c r="J411" i="9"/>
  <c r="J419" i="9" s="1"/>
  <c r="L407" i="9"/>
  <c r="K405" i="9"/>
  <c r="J405" i="9"/>
  <c r="K404" i="9"/>
  <c r="J404" i="9"/>
  <c r="J403" i="9"/>
  <c r="J402" i="9"/>
  <c r="K401" i="9"/>
  <c r="K407" i="9" s="1"/>
  <c r="J401" i="9"/>
  <c r="K400" i="9"/>
  <c r="J400" i="9"/>
  <c r="J399" i="9"/>
  <c r="J407" i="9" s="1"/>
  <c r="J408" i="9" s="1"/>
  <c r="L395" i="9"/>
  <c r="J393" i="9"/>
  <c r="K393" i="9" s="1"/>
  <c r="J392" i="9"/>
  <c r="K392" i="9" s="1"/>
  <c r="K391" i="9"/>
  <c r="J391" i="9"/>
  <c r="J390" i="9"/>
  <c r="K389" i="9"/>
  <c r="J389" i="9"/>
  <c r="K388" i="9"/>
  <c r="K395" i="9" s="1"/>
  <c r="J388" i="9"/>
  <c r="J387" i="9"/>
  <c r="J395" i="9" s="1"/>
  <c r="L383" i="9"/>
  <c r="K381" i="9"/>
  <c r="J381" i="9"/>
  <c r="J380" i="9"/>
  <c r="K380" i="9" s="1"/>
  <c r="J379" i="9"/>
  <c r="J378" i="9"/>
  <c r="J377" i="9"/>
  <c r="K377" i="9" s="1"/>
  <c r="J376" i="9"/>
  <c r="J383" i="9" s="1"/>
  <c r="J375" i="9"/>
  <c r="L371" i="9"/>
  <c r="K369" i="9"/>
  <c r="J369" i="9"/>
  <c r="K368" i="9"/>
  <c r="J368" i="9"/>
  <c r="K367" i="9"/>
  <c r="J367" i="9"/>
  <c r="J366" i="9"/>
  <c r="J365" i="9"/>
  <c r="K365" i="9" s="1"/>
  <c r="K364" i="9"/>
  <c r="K371" i="9" s="1"/>
  <c r="J364" i="9"/>
  <c r="J363" i="9"/>
  <c r="J371" i="9" s="1"/>
  <c r="J372" i="9" s="1"/>
  <c r="L359" i="9"/>
  <c r="K357" i="9"/>
  <c r="J357" i="9"/>
  <c r="K356" i="9"/>
  <c r="J356" i="9"/>
  <c r="K355" i="9"/>
  <c r="J355" i="9"/>
  <c r="J354" i="9"/>
  <c r="J353" i="9"/>
  <c r="K353" i="9" s="1"/>
  <c r="J352" i="9"/>
  <c r="K352" i="9" s="1"/>
  <c r="K359" i="9" s="1"/>
  <c r="J351" i="9"/>
  <c r="J359" i="9" s="1"/>
  <c r="J360" i="9" s="1"/>
  <c r="L347" i="9"/>
  <c r="K345" i="9"/>
  <c r="J345" i="9"/>
  <c r="K344" i="9"/>
  <c r="J344" i="9"/>
  <c r="K343" i="9"/>
  <c r="J343" i="9"/>
  <c r="J342" i="9"/>
  <c r="J341" i="9"/>
  <c r="K341" i="9" s="1"/>
  <c r="J340" i="9"/>
  <c r="K340" i="9" s="1"/>
  <c r="K347" i="9" s="1"/>
  <c r="J339" i="9"/>
  <c r="J347" i="9" s="1"/>
  <c r="J348" i="9" s="1"/>
  <c r="L335" i="9"/>
  <c r="K333" i="9"/>
  <c r="J333" i="9"/>
  <c r="K332" i="9"/>
  <c r="J332" i="9"/>
  <c r="K331" i="9"/>
  <c r="J331" i="9"/>
  <c r="J330" i="9"/>
  <c r="J329" i="9"/>
  <c r="K329" i="9" s="1"/>
  <c r="K328" i="9"/>
  <c r="J328" i="9"/>
  <c r="J327" i="9"/>
  <c r="J335" i="9" s="1"/>
  <c r="L323" i="9"/>
  <c r="J321" i="9"/>
  <c r="K321" i="9" s="1"/>
  <c r="J320" i="9"/>
  <c r="J323" i="9" s="1"/>
  <c r="K319" i="9"/>
  <c r="J319" i="9"/>
  <c r="J318" i="9"/>
  <c r="K317" i="9"/>
  <c r="J317" i="9"/>
  <c r="K316" i="9"/>
  <c r="J316" i="9"/>
  <c r="K315" i="9"/>
  <c r="J315" i="9"/>
  <c r="L311" i="9"/>
  <c r="K309" i="9"/>
  <c r="J309" i="9"/>
  <c r="K308" i="9"/>
  <c r="J308" i="9"/>
  <c r="K307" i="9"/>
  <c r="J307" i="9"/>
  <c r="J306" i="9"/>
  <c r="J305" i="9"/>
  <c r="K305" i="9" s="1"/>
  <c r="J304" i="9"/>
  <c r="J311" i="9" s="1"/>
  <c r="K303" i="9"/>
  <c r="J303" i="9"/>
  <c r="L299" i="9"/>
  <c r="J297" i="9"/>
  <c r="K297" i="9" s="1"/>
  <c r="J296" i="9"/>
  <c r="J299" i="9" s="1"/>
  <c r="J295" i="9"/>
  <c r="K295" i="9" s="1"/>
  <c r="J294" i="9"/>
  <c r="J293" i="9"/>
  <c r="K293" i="9" s="1"/>
  <c r="K292" i="9"/>
  <c r="J292" i="9"/>
  <c r="K291" i="9"/>
  <c r="J291" i="9"/>
  <c r="L287" i="9"/>
  <c r="K285" i="9"/>
  <c r="J285" i="9"/>
  <c r="J284" i="9"/>
  <c r="K284" i="9" s="1"/>
  <c r="K283" i="9"/>
  <c r="J283" i="9"/>
  <c r="J282" i="9"/>
  <c r="J281" i="9"/>
  <c r="K281" i="9" s="1"/>
  <c r="J280" i="9"/>
  <c r="K280" i="9" s="1"/>
  <c r="J279" i="9"/>
  <c r="J287" i="9" s="1"/>
  <c r="L275" i="9"/>
  <c r="J273" i="9"/>
  <c r="K273" i="9" s="1"/>
  <c r="J272" i="9"/>
  <c r="K272" i="9" s="1"/>
  <c r="J271" i="9"/>
  <c r="J275" i="9" s="1"/>
  <c r="J270" i="9"/>
  <c r="K269" i="9"/>
  <c r="J269" i="9"/>
  <c r="J268" i="9"/>
  <c r="K268" i="9" s="1"/>
  <c r="K267" i="9"/>
  <c r="J267" i="9"/>
  <c r="L263" i="9"/>
  <c r="K261" i="9"/>
  <c r="J261" i="9"/>
  <c r="K260" i="9"/>
  <c r="J260" i="9"/>
  <c r="J259" i="9"/>
  <c r="K259" i="9" s="1"/>
  <c r="J258" i="9"/>
  <c r="J257" i="9"/>
  <c r="K257" i="9" s="1"/>
  <c r="J256" i="9"/>
  <c r="K256" i="9" s="1"/>
  <c r="J255" i="9"/>
  <c r="J263" i="9" s="1"/>
  <c r="L251" i="9"/>
  <c r="J252" i="9" s="1"/>
  <c r="J249" i="9"/>
  <c r="J248" i="9"/>
  <c r="J247" i="9"/>
  <c r="J246" i="9"/>
  <c r="J245" i="9"/>
  <c r="K244" i="9"/>
  <c r="J244" i="9"/>
  <c r="K243" i="9"/>
  <c r="K251" i="9" s="1"/>
  <c r="J243" i="9"/>
  <c r="J251" i="9" s="1"/>
  <c r="L239" i="9"/>
  <c r="K237" i="9"/>
  <c r="J237" i="9"/>
  <c r="J236" i="9"/>
  <c r="J235" i="9"/>
  <c r="J234" i="9"/>
  <c r="J233" i="9"/>
  <c r="K233" i="9" s="1"/>
  <c r="J232" i="9"/>
  <c r="K232" i="9" s="1"/>
  <c r="K231" i="9"/>
  <c r="K239" i="9" s="1"/>
  <c r="J231" i="9"/>
  <c r="J239" i="9" s="1"/>
  <c r="J240" i="9" s="1"/>
  <c r="L227" i="9"/>
  <c r="J225" i="9"/>
  <c r="K225" i="9" s="1"/>
  <c r="J224" i="9"/>
  <c r="J227" i="9" s="1"/>
  <c r="J223" i="9"/>
  <c r="K223" i="9" s="1"/>
  <c r="J222" i="9"/>
  <c r="K221" i="9"/>
  <c r="J221" i="9"/>
  <c r="K220" i="9"/>
  <c r="J220" i="9"/>
  <c r="K219" i="9"/>
  <c r="J219" i="9"/>
  <c r="L215" i="9"/>
  <c r="K213" i="9"/>
  <c r="J213" i="9"/>
  <c r="K212" i="9"/>
  <c r="J212" i="9"/>
  <c r="K211" i="9"/>
  <c r="J211" i="9"/>
  <c r="J210" i="9"/>
  <c r="J209" i="9"/>
  <c r="K209" i="9" s="1"/>
  <c r="J208" i="9"/>
  <c r="K208" i="9" s="1"/>
  <c r="J207" i="9"/>
  <c r="J215" i="9" s="1"/>
  <c r="J203" i="9"/>
  <c r="K201" i="9"/>
  <c r="J201" i="9"/>
  <c r="K200" i="9"/>
  <c r="J200" i="9"/>
  <c r="K199" i="9"/>
  <c r="J199" i="9"/>
  <c r="J198" i="9"/>
  <c r="J197" i="9"/>
  <c r="K197" i="9" s="1"/>
  <c r="K196" i="9"/>
  <c r="J196" i="9"/>
  <c r="J195" i="9"/>
  <c r="K195" i="9" s="1"/>
  <c r="K203" i="9" s="1"/>
  <c r="J204" i="9" s="1"/>
  <c r="L191" i="9"/>
  <c r="J189" i="9"/>
  <c r="K189" i="9" s="1"/>
  <c r="J188" i="9"/>
  <c r="J191" i="9" s="1"/>
  <c r="K187" i="9"/>
  <c r="J187" i="9"/>
  <c r="J186" i="9"/>
  <c r="K185" i="9"/>
  <c r="J185" i="9"/>
  <c r="K184" i="9"/>
  <c r="J184" i="9"/>
  <c r="K183" i="9"/>
  <c r="J183" i="9"/>
  <c r="L179" i="9"/>
  <c r="K177" i="9"/>
  <c r="J177" i="9"/>
  <c r="K176" i="9"/>
  <c r="J176" i="9"/>
  <c r="K175" i="9"/>
  <c r="J175" i="9"/>
  <c r="J174" i="9"/>
  <c r="J173" i="9"/>
  <c r="K173" i="9" s="1"/>
  <c r="J172" i="9"/>
  <c r="J179" i="9" s="1"/>
  <c r="K171" i="9"/>
  <c r="J171" i="9"/>
  <c r="L167" i="9"/>
  <c r="J165" i="9"/>
  <c r="K165" i="9" s="1"/>
  <c r="J164" i="9"/>
  <c r="J167" i="9" s="1"/>
  <c r="J163" i="9"/>
  <c r="K163" i="9" s="1"/>
  <c r="J162" i="9"/>
  <c r="K161" i="9"/>
  <c r="J161" i="9"/>
  <c r="K160" i="9"/>
  <c r="J160" i="9"/>
  <c r="K159" i="9"/>
  <c r="J159" i="9"/>
  <c r="L155" i="9"/>
  <c r="K153" i="9"/>
  <c r="J153" i="9"/>
  <c r="J152" i="9"/>
  <c r="K152" i="9" s="1"/>
  <c r="K151" i="9"/>
  <c r="J151" i="9"/>
  <c r="J150" i="9"/>
  <c r="J149" i="9"/>
  <c r="K149" i="9" s="1"/>
  <c r="J148" i="9"/>
  <c r="K148" i="9" s="1"/>
  <c r="J147" i="9"/>
  <c r="J155" i="9" s="1"/>
  <c r="L143" i="9"/>
  <c r="J141" i="9"/>
  <c r="K140" i="9"/>
  <c r="J140" i="9"/>
  <c r="J139" i="9"/>
  <c r="J143" i="9" s="1"/>
  <c r="J138" i="9"/>
  <c r="K137" i="9"/>
  <c r="J137" i="9"/>
  <c r="K136" i="9"/>
  <c r="J136" i="9"/>
  <c r="J135" i="9"/>
  <c r="K135" i="9" s="1"/>
  <c r="K143" i="9" s="1"/>
  <c r="L131" i="9"/>
  <c r="K129" i="9"/>
  <c r="J129" i="9"/>
  <c r="K128" i="9"/>
  <c r="J128" i="9"/>
  <c r="K127" i="9"/>
  <c r="J127" i="9"/>
  <c r="J126" i="9"/>
  <c r="J125" i="9"/>
  <c r="K125" i="9" s="1"/>
  <c r="J124" i="9"/>
  <c r="K124" i="9" s="1"/>
  <c r="J123" i="9"/>
  <c r="J131" i="9" s="1"/>
  <c r="L119" i="9"/>
  <c r="K117" i="9"/>
  <c r="J117" i="9"/>
  <c r="J116" i="9"/>
  <c r="K116" i="9" s="1"/>
  <c r="J115" i="9"/>
  <c r="J119" i="9" s="1"/>
  <c r="J114" i="9"/>
  <c r="K113" i="9"/>
  <c r="J113" i="9"/>
  <c r="K112" i="9"/>
  <c r="J112" i="9"/>
  <c r="K111" i="9"/>
  <c r="J111" i="9"/>
  <c r="L107" i="9"/>
  <c r="K105" i="9"/>
  <c r="J105" i="9"/>
  <c r="K104" i="9"/>
  <c r="J104" i="9"/>
  <c r="K103" i="9"/>
  <c r="J103" i="9"/>
  <c r="J102" i="9"/>
  <c r="K101" i="9"/>
  <c r="J101" i="9"/>
  <c r="J100" i="9"/>
  <c r="K100" i="9" s="1"/>
  <c r="J99" i="9"/>
  <c r="J107" i="9" s="1"/>
  <c r="L95" i="9"/>
  <c r="J96" i="9" s="1"/>
  <c r="J95" i="9"/>
  <c r="J93" i="9"/>
  <c r="K93" i="9" s="1"/>
  <c r="K92" i="9"/>
  <c r="J92" i="9"/>
  <c r="J91" i="9"/>
  <c r="K91" i="9" s="1"/>
  <c r="J90" i="9"/>
  <c r="K89" i="9"/>
  <c r="J89" i="9"/>
  <c r="K88" i="9"/>
  <c r="J88" i="9"/>
  <c r="K87" i="9"/>
  <c r="K95" i="9" s="1"/>
  <c r="J87" i="9"/>
  <c r="L83" i="9"/>
  <c r="K81" i="9"/>
  <c r="J81" i="9"/>
  <c r="K80" i="9"/>
  <c r="J80" i="9"/>
  <c r="K79" i="9"/>
  <c r="J79" i="9"/>
  <c r="J78" i="9"/>
  <c r="J77" i="9"/>
  <c r="K77" i="9" s="1"/>
  <c r="K76" i="9"/>
  <c r="J76" i="9"/>
  <c r="J75" i="9"/>
  <c r="J83" i="9" s="1"/>
  <c r="L71" i="9"/>
  <c r="J69" i="9"/>
  <c r="K69" i="9" s="1"/>
  <c r="J68" i="9"/>
  <c r="J71" i="9" s="1"/>
  <c r="K67" i="9"/>
  <c r="J67" i="9"/>
  <c r="J66" i="9"/>
  <c r="K65" i="9"/>
  <c r="J65" i="9"/>
  <c r="K64" i="9"/>
  <c r="J64" i="9"/>
  <c r="K63" i="9"/>
  <c r="J63" i="9"/>
  <c r="L59" i="9"/>
  <c r="K57" i="9"/>
  <c r="J57" i="9"/>
  <c r="K56" i="9"/>
  <c r="J56" i="9"/>
  <c r="K55" i="9"/>
  <c r="J55" i="9"/>
  <c r="J54" i="9"/>
  <c r="J53" i="9"/>
  <c r="K53" i="9" s="1"/>
  <c r="J52" i="9"/>
  <c r="J59" i="9" s="1"/>
  <c r="K51" i="9"/>
  <c r="J51" i="9"/>
  <c r="L47" i="9"/>
  <c r="J45" i="9"/>
  <c r="K45" i="9" s="1"/>
  <c r="J44" i="9"/>
  <c r="J47" i="9" s="1"/>
  <c r="J43" i="9"/>
  <c r="K43" i="9" s="1"/>
  <c r="J42" i="9"/>
  <c r="K41" i="9"/>
  <c r="J41" i="9"/>
  <c r="K40" i="9"/>
  <c r="J40" i="9"/>
  <c r="K39" i="9"/>
  <c r="J39" i="9"/>
  <c r="L35" i="9"/>
  <c r="K33" i="9"/>
  <c r="J33" i="9"/>
  <c r="K32" i="9"/>
  <c r="J32" i="9"/>
  <c r="K31" i="9"/>
  <c r="J31" i="9"/>
  <c r="J30" i="9"/>
  <c r="J29" i="9"/>
  <c r="K29" i="9" s="1"/>
  <c r="J28" i="9"/>
  <c r="K28" i="9" s="1"/>
  <c r="J27" i="9"/>
  <c r="J35" i="9" s="1"/>
  <c r="L23" i="9"/>
  <c r="J21" i="9"/>
  <c r="K21" i="9" s="1"/>
  <c r="J20" i="9"/>
  <c r="K20" i="9" s="1"/>
  <c r="J19" i="9"/>
  <c r="J23" i="9" s="1"/>
  <c r="J18" i="9"/>
  <c r="K17" i="9"/>
  <c r="J17" i="9"/>
  <c r="J16" i="9"/>
  <c r="K16" i="9" s="1"/>
  <c r="K15" i="9"/>
  <c r="J15" i="9"/>
  <c r="L11" i="9"/>
  <c r="K9" i="9"/>
  <c r="J9" i="9"/>
  <c r="K8" i="9"/>
  <c r="J8" i="9"/>
  <c r="J7" i="9"/>
  <c r="K7" i="9" s="1"/>
  <c r="J6" i="9"/>
  <c r="J5" i="9"/>
  <c r="K5" i="9" s="1"/>
  <c r="J4" i="9"/>
  <c r="K4" i="9" s="1"/>
  <c r="J3" i="9"/>
  <c r="J11" i="9" s="1"/>
  <c r="D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J380" i="5"/>
  <c r="K379" i="5"/>
  <c r="J379" i="5"/>
  <c r="K378" i="5"/>
  <c r="J378" i="5"/>
  <c r="J377" i="5"/>
  <c r="K376" i="5"/>
  <c r="J376" i="5"/>
  <c r="J375" i="5"/>
  <c r="K375" i="5" s="1"/>
  <c r="J374" i="5"/>
  <c r="J382" i="5" s="1"/>
  <c r="J370" i="5"/>
  <c r="J368" i="5"/>
  <c r="K368" i="5" s="1"/>
  <c r="K367" i="5"/>
  <c r="J367" i="5"/>
  <c r="K366" i="5"/>
  <c r="J366" i="5"/>
  <c r="J365" i="5"/>
  <c r="J364" i="5"/>
  <c r="K364" i="5" s="1"/>
  <c r="K363" i="5"/>
  <c r="J363" i="5"/>
  <c r="K362" i="5"/>
  <c r="J362" i="5"/>
  <c r="K356" i="5"/>
  <c r="J356" i="5"/>
  <c r="J355" i="5"/>
  <c r="K355" i="5" s="1"/>
  <c r="K354" i="5"/>
  <c r="J354" i="5"/>
  <c r="J353" i="5"/>
  <c r="K352" i="5"/>
  <c r="J352" i="5"/>
  <c r="K351" i="5"/>
  <c r="J351" i="5"/>
  <c r="J350" i="5"/>
  <c r="K344" i="5"/>
  <c r="J344" i="5"/>
  <c r="J343" i="5"/>
  <c r="K343" i="5" s="1"/>
  <c r="J342" i="5"/>
  <c r="K342" i="5" s="1"/>
  <c r="J341" i="5"/>
  <c r="J340" i="5"/>
  <c r="J339" i="5"/>
  <c r="J338" i="5"/>
  <c r="K332" i="5"/>
  <c r="J332" i="5"/>
  <c r="J331" i="5"/>
  <c r="J330" i="5"/>
  <c r="K330" i="5" s="1"/>
  <c r="J329" i="5"/>
  <c r="J328" i="5"/>
  <c r="K328" i="5" s="1"/>
  <c r="J327" i="5"/>
  <c r="K327" i="5" s="1"/>
  <c r="J326" i="5"/>
  <c r="J334" i="5" s="1"/>
  <c r="J322" i="5"/>
  <c r="J320" i="5"/>
  <c r="K320" i="5" s="1"/>
  <c r="J319" i="5"/>
  <c r="K319" i="5" s="1"/>
  <c r="K318" i="5"/>
  <c r="J318" i="5"/>
  <c r="J317" i="5"/>
  <c r="J316" i="5"/>
  <c r="K316" i="5" s="1"/>
  <c r="K315" i="5"/>
  <c r="J315" i="5"/>
  <c r="K314" i="5"/>
  <c r="J314" i="5"/>
  <c r="L310" i="5"/>
  <c r="J308" i="5"/>
  <c r="K308" i="5" s="1"/>
  <c r="J307" i="5"/>
  <c r="K307" i="5" s="1"/>
  <c r="K306" i="5"/>
  <c r="J306" i="5"/>
  <c r="J305" i="5"/>
  <c r="J304" i="5"/>
  <c r="K304" i="5" s="1"/>
  <c r="J303" i="5"/>
  <c r="K303" i="5" s="1"/>
  <c r="K302" i="5"/>
  <c r="K310" i="5" s="1"/>
  <c r="J302" i="5"/>
  <c r="L298" i="5"/>
  <c r="J296" i="5"/>
  <c r="K296" i="5" s="1"/>
  <c r="J295" i="5"/>
  <c r="K295" i="5" s="1"/>
  <c r="J294" i="5"/>
  <c r="K294" i="5" s="1"/>
  <c r="J293" i="5"/>
  <c r="J292" i="5"/>
  <c r="K292" i="5" s="1"/>
  <c r="J291" i="5"/>
  <c r="K290" i="5"/>
  <c r="J290" i="5"/>
  <c r="L286" i="5"/>
  <c r="J284" i="5"/>
  <c r="K284" i="5" s="1"/>
  <c r="J283" i="5"/>
  <c r="K283" i="5" s="1"/>
  <c r="J282" i="5"/>
  <c r="K282" i="5" s="1"/>
  <c r="J281" i="5"/>
  <c r="J280" i="5"/>
  <c r="K280" i="5" s="1"/>
  <c r="J279" i="5"/>
  <c r="K279" i="5" s="1"/>
  <c r="K286" i="5" s="1"/>
  <c r="K278" i="5"/>
  <c r="J278" i="5"/>
  <c r="L274" i="5"/>
  <c r="K272" i="5"/>
  <c r="J272" i="5"/>
  <c r="J271" i="5"/>
  <c r="K271" i="5" s="1"/>
  <c r="J270" i="5"/>
  <c r="K270" i="5" s="1"/>
  <c r="K269" i="5"/>
  <c r="J269" i="5"/>
  <c r="K268" i="5"/>
  <c r="J268" i="5"/>
  <c r="J267" i="5"/>
  <c r="K267" i="5" s="1"/>
  <c r="K266" i="5"/>
  <c r="J266" i="5"/>
  <c r="L262" i="5"/>
  <c r="K260" i="5"/>
  <c r="J260" i="5"/>
  <c r="K259" i="5"/>
  <c r="J259" i="5"/>
  <c r="J258" i="5"/>
  <c r="K258" i="5" s="1"/>
  <c r="J257" i="5"/>
  <c r="J262" i="5" s="1"/>
  <c r="K256" i="5"/>
  <c r="J256" i="5"/>
  <c r="K255" i="5"/>
  <c r="J255" i="5"/>
  <c r="K254" i="5"/>
  <c r="J254" i="5"/>
  <c r="L250" i="5"/>
  <c r="J248" i="5"/>
  <c r="K248" i="5" s="1"/>
  <c r="K247" i="5"/>
  <c r="J247" i="5"/>
  <c r="K246" i="5"/>
  <c r="J246" i="5"/>
  <c r="J245" i="5"/>
  <c r="J244" i="5"/>
  <c r="K244" i="5" s="1"/>
  <c r="K243" i="5"/>
  <c r="J243" i="5"/>
  <c r="J242" i="5"/>
  <c r="L238" i="5"/>
  <c r="J236" i="5"/>
  <c r="K236" i="5" s="1"/>
  <c r="J235" i="5"/>
  <c r="K235" i="5" s="1"/>
  <c r="K234" i="5"/>
  <c r="J234" i="5"/>
  <c r="J233" i="5"/>
  <c r="J232" i="5"/>
  <c r="K232" i="5" s="1"/>
  <c r="J231" i="5"/>
  <c r="K231" i="5" s="1"/>
  <c r="K238" i="5" s="1"/>
  <c r="J230" i="5"/>
  <c r="L226" i="5"/>
  <c r="K224" i="5"/>
  <c r="J224" i="5"/>
  <c r="J223" i="5"/>
  <c r="K223" i="5" s="1"/>
  <c r="J222" i="5"/>
  <c r="J221" i="5"/>
  <c r="J220" i="5"/>
  <c r="K220" i="5" s="1"/>
  <c r="J219" i="5"/>
  <c r="K219" i="5" s="1"/>
  <c r="J218" i="5"/>
  <c r="K218" i="5" s="1"/>
  <c r="L214" i="5"/>
  <c r="K212" i="5"/>
  <c r="J212" i="5"/>
  <c r="J211" i="5"/>
  <c r="K211" i="5" s="1"/>
  <c r="J210" i="5"/>
  <c r="K210" i="5" s="1"/>
  <c r="J209" i="5"/>
  <c r="J208" i="5"/>
  <c r="K208" i="5" s="1"/>
  <c r="J207" i="5"/>
  <c r="K207" i="5" s="1"/>
  <c r="J206" i="5"/>
  <c r="L202" i="5"/>
  <c r="K200" i="5"/>
  <c r="J200" i="5"/>
  <c r="J199" i="5"/>
  <c r="K199" i="5" s="1"/>
  <c r="J198" i="5"/>
  <c r="K198" i="5" s="1"/>
  <c r="J197" i="5"/>
  <c r="K196" i="5"/>
  <c r="J196" i="5"/>
  <c r="J195" i="5"/>
  <c r="K195" i="5" s="1"/>
  <c r="J194" i="5"/>
  <c r="J190" i="5"/>
  <c r="J188" i="5"/>
  <c r="K188" i="5" s="1"/>
  <c r="J187" i="5"/>
  <c r="K187" i="5" s="1"/>
  <c r="J186" i="5"/>
  <c r="J185" i="5"/>
  <c r="K184" i="5"/>
  <c r="J184" i="5"/>
  <c r="K183" i="5"/>
  <c r="J183" i="5"/>
  <c r="J182" i="5"/>
  <c r="K182" i="5" s="1"/>
  <c r="L178" i="5"/>
  <c r="K176" i="5"/>
  <c r="J176" i="5"/>
  <c r="K175" i="5"/>
  <c r="J175" i="5"/>
  <c r="K174" i="5"/>
  <c r="J174" i="5"/>
  <c r="J173" i="5"/>
  <c r="K172" i="5"/>
  <c r="J172" i="5"/>
  <c r="J171" i="5"/>
  <c r="J170" i="5"/>
  <c r="K170" i="5" s="1"/>
  <c r="L166" i="5"/>
  <c r="K164" i="5"/>
  <c r="J164" i="5"/>
  <c r="J163" i="5"/>
  <c r="K163" i="5" s="1"/>
  <c r="J162" i="5"/>
  <c r="K162" i="5" s="1"/>
  <c r="J161" i="5"/>
  <c r="K160" i="5"/>
  <c r="J160" i="5"/>
  <c r="J159" i="5"/>
  <c r="K159" i="5" s="1"/>
  <c r="J158" i="5"/>
  <c r="L154" i="5"/>
  <c r="J152" i="5"/>
  <c r="K152" i="5" s="1"/>
  <c r="K151" i="5"/>
  <c r="J151" i="5"/>
  <c r="J150" i="5"/>
  <c r="K150" i="5" s="1"/>
  <c r="J149" i="5"/>
  <c r="K148" i="5"/>
  <c r="J148" i="5"/>
  <c r="J147" i="5"/>
  <c r="K146" i="5"/>
  <c r="J146" i="5"/>
  <c r="L142" i="5"/>
  <c r="K140" i="5"/>
  <c r="J140" i="5"/>
  <c r="K139" i="5"/>
  <c r="J139" i="5"/>
  <c r="J138" i="5"/>
  <c r="K138" i="5" s="1"/>
  <c r="J137" i="5"/>
  <c r="J136" i="5"/>
  <c r="K136" i="5" s="1"/>
  <c r="K135" i="5"/>
  <c r="J135" i="5"/>
  <c r="J134" i="5"/>
  <c r="L130" i="5"/>
  <c r="K128" i="5"/>
  <c r="J128" i="5"/>
  <c r="J127" i="5"/>
  <c r="K127" i="5" s="1"/>
  <c r="K126" i="5"/>
  <c r="J126" i="5"/>
  <c r="J125" i="5"/>
  <c r="K124" i="5"/>
  <c r="J124" i="5"/>
  <c r="K123" i="5"/>
  <c r="J123" i="5"/>
  <c r="J122" i="5"/>
  <c r="L118" i="5"/>
  <c r="J118" i="5"/>
  <c r="J119" i="5" s="1"/>
  <c r="J116" i="5"/>
  <c r="K116" i="5" s="1"/>
  <c r="K115" i="5"/>
  <c r="J115" i="5"/>
  <c r="K114" i="5"/>
  <c r="J114" i="5"/>
  <c r="J113" i="5"/>
  <c r="K112" i="5"/>
  <c r="J112" i="5"/>
  <c r="J111" i="5"/>
  <c r="K111" i="5" s="1"/>
  <c r="K110" i="5"/>
  <c r="K118" i="5" s="1"/>
  <c r="J110" i="5"/>
  <c r="L106" i="5"/>
  <c r="J104" i="5"/>
  <c r="K104" i="5" s="1"/>
  <c r="K103" i="5"/>
  <c r="J103" i="5"/>
  <c r="J102" i="5"/>
  <c r="K102" i="5" s="1"/>
  <c r="J101" i="5"/>
  <c r="J106" i="5" s="1"/>
  <c r="J100" i="5"/>
  <c r="K100" i="5" s="1"/>
  <c r="K99" i="5"/>
  <c r="J99" i="5"/>
  <c r="K98" i="5"/>
  <c r="J98" i="5"/>
  <c r="L94" i="5"/>
  <c r="J92" i="5"/>
  <c r="K92" i="5" s="1"/>
  <c r="J91" i="5"/>
  <c r="K91" i="5" s="1"/>
  <c r="K90" i="5"/>
  <c r="J90" i="5"/>
  <c r="J89" i="5"/>
  <c r="J88" i="5"/>
  <c r="K88" i="5" s="1"/>
  <c r="K87" i="5"/>
  <c r="J87" i="5"/>
  <c r="J86" i="5"/>
  <c r="L82" i="5"/>
  <c r="J80" i="5"/>
  <c r="K80" i="5" s="1"/>
  <c r="J79" i="5"/>
  <c r="K79" i="5" s="1"/>
  <c r="K78" i="5"/>
  <c r="J78" i="5"/>
  <c r="J77" i="5"/>
  <c r="J76" i="5"/>
  <c r="K76" i="5" s="1"/>
  <c r="J75" i="5"/>
  <c r="K75" i="5" s="1"/>
  <c r="K74" i="5"/>
  <c r="J74" i="5"/>
  <c r="L70" i="5"/>
  <c r="K68" i="5"/>
  <c r="J68" i="5"/>
  <c r="J67" i="5"/>
  <c r="K67" i="5" s="1"/>
  <c r="J66" i="5"/>
  <c r="K66" i="5" s="1"/>
  <c r="J65" i="5"/>
  <c r="J64" i="5"/>
  <c r="K64" i="5" s="1"/>
  <c r="J63" i="5"/>
  <c r="K63" i="5" s="1"/>
  <c r="K62" i="5"/>
  <c r="J62" i="5"/>
  <c r="L58" i="5"/>
  <c r="J56" i="5"/>
  <c r="K56" i="5" s="1"/>
  <c r="J55" i="5"/>
  <c r="K55" i="5" s="1"/>
  <c r="J54" i="5"/>
  <c r="K54" i="5" s="1"/>
  <c r="J53" i="5"/>
  <c r="K52" i="5"/>
  <c r="J52" i="5"/>
  <c r="J51" i="5"/>
  <c r="K51" i="5" s="1"/>
  <c r="K58" i="5" s="1"/>
  <c r="K50" i="5"/>
  <c r="J50" i="5"/>
  <c r="L46" i="5"/>
  <c r="J44" i="5"/>
  <c r="K44" i="5" s="1"/>
  <c r="J43" i="5"/>
  <c r="K43" i="5" s="1"/>
  <c r="J42" i="5"/>
  <c r="K42" i="5" s="1"/>
  <c r="J41" i="5"/>
  <c r="J40" i="5"/>
  <c r="K40" i="5" s="1"/>
  <c r="J39" i="5"/>
  <c r="K39" i="5" s="1"/>
  <c r="K46" i="5" s="1"/>
  <c r="K38" i="5"/>
  <c r="J38" i="5"/>
  <c r="L34" i="5"/>
  <c r="K32" i="5"/>
  <c r="J32" i="5"/>
  <c r="J31" i="5"/>
  <c r="K31" i="5" s="1"/>
  <c r="J30" i="5"/>
  <c r="K30" i="5" s="1"/>
  <c r="J29" i="5"/>
  <c r="J28" i="5"/>
  <c r="K28" i="5" s="1"/>
  <c r="J27" i="5"/>
  <c r="K27" i="5" s="1"/>
  <c r="J26" i="5"/>
  <c r="K22" i="5"/>
  <c r="K20" i="5"/>
  <c r="J20" i="5"/>
  <c r="J19" i="5"/>
  <c r="K19" i="5" s="1"/>
  <c r="J18" i="5"/>
  <c r="K18" i="5" s="1"/>
  <c r="J17" i="5"/>
  <c r="K16" i="5"/>
  <c r="J16" i="5"/>
  <c r="L15" i="5"/>
  <c r="L22" i="5" s="1"/>
  <c r="K15" i="5"/>
  <c r="J15" i="5"/>
  <c r="K14" i="5"/>
  <c r="J14" i="5"/>
  <c r="J22" i="5" s="1"/>
  <c r="L10" i="5"/>
  <c r="K8" i="5"/>
  <c r="J8" i="5"/>
  <c r="K7" i="5"/>
  <c r="J7" i="5"/>
  <c r="K6" i="5"/>
  <c r="J6" i="5"/>
  <c r="J5" i="5"/>
  <c r="J4" i="5"/>
  <c r="K4" i="5" s="1"/>
  <c r="K3" i="5"/>
  <c r="J3" i="5"/>
  <c r="K2" i="5"/>
  <c r="K10" i="5" s="1"/>
  <c r="J2" i="5"/>
  <c r="E35" i="4"/>
  <c r="G34" i="4"/>
  <c r="E34" i="4"/>
  <c r="F34" i="4" s="1"/>
  <c r="G33" i="4"/>
  <c r="F33" i="4"/>
  <c r="E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J10" i="5" l="1"/>
  <c r="J11" i="5" s="1"/>
  <c r="J46" i="5"/>
  <c r="J47" i="5" s="1"/>
  <c r="K274" i="5"/>
  <c r="J298" i="5"/>
  <c r="K291" i="5"/>
  <c r="K298" i="5" s="1"/>
  <c r="J156" i="9"/>
  <c r="J396" i="9"/>
  <c r="J528" i="9"/>
  <c r="J107" i="10"/>
  <c r="K130" i="10"/>
  <c r="J131" i="10" s="1"/>
  <c r="K214" i="10"/>
  <c r="K238" i="10"/>
  <c r="J239" i="10" s="1"/>
  <c r="K298" i="10"/>
  <c r="K346" i="10"/>
  <c r="J384" i="9"/>
  <c r="K491" i="9"/>
  <c r="J492" i="9" s="1"/>
  <c r="J47" i="10"/>
  <c r="J191" i="10"/>
  <c r="J35" i="11"/>
  <c r="J34" i="5"/>
  <c r="J35" i="5" s="1"/>
  <c r="K26" i="5"/>
  <c r="K34" i="5" s="1"/>
  <c r="K226" i="5"/>
  <c r="J346" i="5"/>
  <c r="J347" i="5" s="1"/>
  <c r="J36" i="9"/>
  <c r="K119" i="9"/>
  <c r="J120" i="9" s="1"/>
  <c r="K106" i="10"/>
  <c r="K190" i="10"/>
  <c r="J468" i="9"/>
  <c r="J23" i="10"/>
  <c r="K46" i="10"/>
  <c r="J23" i="5"/>
  <c r="J191" i="5"/>
  <c r="J214" i="5"/>
  <c r="J215" i="5" s="1"/>
  <c r="K206" i="5"/>
  <c r="K214" i="5" s="1"/>
  <c r="J310" i="5"/>
  <c r="J311" i="5" s="1"/>
  <c r="J323" i="5"/>
  <c r="K34" i="10"/>
  <c r="J35" i="10" s="1"/>
  <c r="K94" i="10"/>
  <c r="J95" i="10" s="1"/>
  <c r="K34" i="11"/>
  <c r="J178" i="5"/>
  <c r="J179" i="5" s="1"/>
  <c r="J202" i="5"/>
  <c r="K194" i="5"/>
  <c r="K202" i="5" s="1"/>
  <c r="J335" i="5"/>
  <c r="K346" i="5"/>
  <c r="J263" i="10"/>
  <c r="K22" i="11"/>
  <c r="J23" i="11" s="1"/>
  <c r="J70" i="5"/>
  <c r="J82" i="5"/>
  <c r="J83" i="5" s="1"/>
  <c r="J107" i="5"/>
  <c r="J155" i="5"/>
  <c r="K178" i="5"/>
  <c r="J299" i="5"/>
  <c r="J144" i="9"/>
  <c r="J299" i="10"/>
  <c r="J323" i="10"/>
  <c r="J347" i="10"/>
  <c r="K10" i="11"/>
  <c r="J11" i="11" s="1"/>
  <c r="J166" i="5"/>
  <c r="K158" i="5"/>
  <c r="K166" i="5" s="1"/>
  <c r="J167" i="5" s="1"/>
  <c r="K190" i="5"/>
  <c r="J238" i="5"/>
  <c r="J239" i="5" s="1"/>
  <c r="K322" i="5"/>
  <c r="J371" i="5"/>
  <c r="J420" i="9"/>
  <c r="J504" i="9"/>
  <c r="K22" i="10"/>
  <c r="K250" i="10"/>
  <c r="J251" i="10" s="1"/>
  <c r="K310" i="10"/>
  <c r="J311" i="10" s="1"/>
  <c r="J59" i="5"/>
  <c r="K106" i="5"/>
  <c r="J130" i="5"/>
  <c r="J131" i="5" s="1"/>
  <c r="K122" i="5"/>
  <c r="K130" i="5" s="1"/>
  <c r="J142" i="5"/>
  <c r="J143" i="5" s="1"/>
  <c r="K134" i="5"/>
  <c r="K142" i="5" s="1"/>
  <c r="J251" i="5"/>
  <c r="J312" i="9"/>
  <c r="J432" i="9"/>
  <c r="K443" i="9"/>
  <c r="J444" i="9" s="1"/>
  <c r="J215" i="10"/>
  <c r="J227" i="10"/>
  <c r="K358" i="10"/>
  <c r="J359" i="10" s="1"/>
  <c r="J94" i="5"/>
  <c r="J95" i="5" s="1"/>
  <c r="K147" i="5"/>
  <c r="K154" i="5" s="1"/>
  <c r="J154" i="5"/>
  <c r="J358" i="5"/>
  <c r="K350" i="5"/>
  <c r="K358" i="5" s="1"/>
  <c r="K370" i="5"/>
  <c r="K382" i="5"/>
  <c r="J383" i="5" s="1"/>
  <c r="K299" i="9"/>
  <c r="J300" i="9" s="1"/>
  <c r="K10" i="10"/>
  <c r="J11" i="10" s="1"/>
  <c r="J59" i="10"/>
  <c r="K142" i="10"/>
  <c r="J143" i="10" s="1"/>
  <c r="J287" i="10"/>
  <c r="J58" i="5"/>
  <c r="K70" i="5"/>
  <c r="K82" i="5"/>
  <c r="J250" i="5"/>
  <c r="K262" i="5"/>
  <c r="J263" i="5" s="1"/>
  <c r="J274" i="5"/>
  <c r="J275" i="5" s="1"/>
  <c r="J288" i="9"/>
  <c r="J480" i="9"/>
  <c r="J516" i="9"/>
  <c r="K70" i="10"/>
  <c r="K322" i="10"/>
  <c r="J47" i="11"/>
  <c r="K326" i="5"/>
  <c r="K334" i="5" s="1"/>
  <c r="K27" i="9"/>
  <c r="K35" i="9" s="1"/>
  <c r="K52" i="9"/>
  <c r="K59" i="9" s="1"/>
  <c r="J60" i="9" s="1"/>
  <c r="K68" i="9"/>
  <c r="K71" i="9" s="1"/>
  <c r="J72" i="9" s="1"/>
  <c r="K147" i="9"/>
  <c r="K155" i="9" s="1"/>
  <c r="K172" i="9"/>
  <c r="K179" i="9" s="1"/>
  <c r="J180" i="9" s="1"/>
  <c r="K188" i="9"/>
  <c r="K191" i="9" s="1"/>
  <c r="J192" i="9" s="1"/>
  <c r="K207" i="9"/>
  <c r="K215" i="9" s="1"/>
  <c r="J216" i="9" s="1"/>
  <c r="K279" i="9"/>
  <c r="K287" i="9" s="1"/>
  <c r="K304" i="9"/>
  <c r="K311" i="9" s="1"/>
  <c r="K320" i="9"/>
  <c r="K323" i="9" s="1"/>
  <c r="J324" i="9" s="1"/>
  <c r="K449" i="9"/>
  <c r="K455" i="9" s="1"/>
  <c r="J456" i="9" s="1"/>
  <c r="K488" i="9"/>
  <c r="K86" i="5"/>
  <c r="K94" i="5" s="1"/>
  <c r="K242" i="5"/>
  <c r="K250" i="5" s="1"/>
  <c r="K3" i="9"/>
  <c r="K11" i="9" s="1"/>
  <c r="J12" i="9" s="1"/>
  <c r="K19" i="9"/>
  <c r="K23" i="9" s="1"/>
  <c r="J24" i="9" s="1"/>
  <c r="K44" i="9"/>
  <c r="K47" i="9" s="1"/>
  <c r="J48" i="9" s="1"/>
  <c r="K164" i="9"/>
  <c r="K167" i="9" s="1"/>
  <c r="J168" i="9" s="1"/>
  <c r="K224" i="9"/>
  <c r="K227" i="9" s="1"/>
  <c r="J228" i="9" s="1"/>
  <c r="K255" i="9"/>
  <c r="K263" i="9" s="1"/>
  <c r="J264" i="9" s="1"/>
  <c r="K271" i="9"/>
  <c r="K275" i="9" s="1"/>
  <c r="J276" i="9" s="1"/>
  <c r="K296" i="9"/>
  <c r="K376" i="9"/>
  <c r="K383" i="9" s="1"/>
  <c r="J70" i="10"/>
  <c r="J71" i="10" s="1"/>
  <c r="J226" i="5"/>
  <c r="J227" i="5" s="1"/>
  <c r="K123" i="9"/>
  <c r="K131" i="9" s="1"/>
  <c r="J132" i="9" s="1"/>
  <c r="J286" i="5"/>
  <c r="J287" i="5" s="1"/>
  <c r="K99" i="9"/>
  <c r="K107" i="9" s="1"/>
  <c r="J108" i="9" s="1"/>
  <c r="K115" i="9"/>
  <c r="J82" i="10"/>
  <c r="J83" i="10" s="1"/>
  <c r="K75" i="9"/>
  <c r="K83" i="9" s="1"/>
  <c r="J84" i="9" s="1"/>
  <c r="K327" i="9"/>
  <c r="K335" i="9" s="1"/>
  <c r="J336" i="9" s="1"/>
  <c r="J71" i="5" l="1"/>
  <c r="J203" i="5"/>
  <c r="J35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tc={541bfd20-2a59-4e62-acaa-581753c7405d}</author>
    <author>tc={eec6bb51-fc85-4295-86f1-8d88eb746cb8}</author>
  </authors>
  <commentList>
    <comment ref="L14" authorId="0" shapeId="0" xr:uid="{541BFD20-2A59-4E62-ACAA-581753C7405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12/03 overtime pay missed
</t>
        </r>
      </text>
    </comment>
    <comment ref="L15" authorId="1" shapeId="0" xr:uid="{EEC6BB51-FC85-4295-86F1-8D88EB746CB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17/03 concrete - no lunch break
</t>
        </r>
      </text>
    </comment>
  </commentList>
</comments>
</file>

<file path=xl/sharedStrings.xml><?xml version="1.0" encoding="utf-8"?>
<sst xmlns="http://schemas.openxmlformats.org/spreadsheetml/2006/main" count="3965" uniqueCount="473">
  <si>
    <t>DOB</t>
  </si>
  <si>
    <t>Designation</t>
  </si>
  <si>
    <t>Salary</t>
  </si>
  <si>
    <t>GPay</t>
  </si>
  <si>
    <t>TPLGOAFBW001001</t>
  </si>
  <si>
    <t>LIJO JOHNSON</t>
  </si>
  <si>
    <t>NX10047928</t>
  </si>
  <si>
    <t>0-0-0</t>
  </si>
  <si>
    <t>STEEL FABRICATOR</t>
  </si>
  <si>
    <t>TPLGOASPV002022</t>
  </si>
  <si>
    <t>JUDE MARTIN</t>
  </si>
  <si>
    <t>26-02-1956</t>
  </si>
  <si>
    <t>TPLGOAFBW002002</t>
  </si>
  <si>
    <t>PRANAV PRATHAPAN / PRAVEEN</t>
  </si>
  <si>
    <t>TPLGOASHT001003</t>
  </si>
  <si>
    <t>Pabitra malo</t>
  </si>
  <si>
    <t>SHUTTER MASON</t>
  </si>
  <si>
    <t>121223 - 1586-PHC-CORLIM-2025-26</t>
  </si>
  <si>
    <t>TPLGOASHT002004</t>
  </si>
  <si>
    <t>GOURANGA CH MALO</t>
  </si>
  <si>
    <t>121226 - 1589-PHC-CORLIM-2025-26</t>
  </si>
  <si>
    <t>31-12-2025</t>
  </si>
  <si>
    <t>TPLGOAMSN001005</t>
  </si>
  <si>
    <t>BIKRAM DAS</t>
  </si>
  <si>
    <t>TPLGOAHLP001006</t>
  </si>
  <si>
    <t>BIKRAM MALO</t>
  </si>
  <si>
    <t>GEN. HELPER</t>
  </si>
  <si>
    <t>121224 - 1587-PHC-CORLIM-2025-26</t>
  </si>
  <si>
    <t>TPLGOAHLP002007</t>
  </si>
  <si>
    <t>ABHIJIT BARMAN</t>
  </si>
  <si>
    <t>121225 - 1588-PHC-CORLIM-2025-26</t>
  </si>
  <si>
    <t>TPLGOASHT003008</t>
  </si>
  <si>
    <t>Parimal chandra malo</t>
  </si>
  <si>
    <t>TPLGOASHT004009</t>
  </si>
  <si>
    <t>KAASHI MALO</t>
  </si>
  <si>
    <t>TPLGOAHLP003010</t>
  </si>
  <si>
    <t>SONATON SARKAR</t>
  </si>
  <si>
    <t>TPLGOAHLP004011</t>
  </si>
  <si>
    <t>CHANDAN CH DAS</t>
  </si>
  <si>
    <t>121221 - 1584-PHC-CORLIM-2025-26</t>
  </si>
  <si>
    <t>TPLGOAHLP005012</t>
  </si>
  <si>
    <t>SANATAN DAS</t>
  </si>
  <si>
    <t>19-02-1998</t>
  </si>
  <si>
    <t>121227 - 1590-PHC-CORLIM-2025-27</t>
  </si>
  <si>
    <t>TPLGOASPV001013</t>
  </si>
  <si>
    <t>TAPAN SHANKHARI</t>
  </si>
  <si>
    <t>SUPERVISOR</t>
  </si>
  <si>
    <t>9074159583 / 7407995079</t>
  </si>
  <si>
    <t>121222 - 1585-PHC-CORLIM-2025-26</t>
  </si>
  <si>
    <t>TPLGOAMSN002014</t>
  </si>
  <si>
    <t>ARADHAN RAY</t>
  </si>
  <si>
    <t>TPLGOAPTR001015</t>
  </si>
  <si>
    <t>JUSTIN DANIEL</t>
  </si>
  <si>
    <t>0-0-1971</t>
  </si>
  <si>
    <t>PAINTER</t>
  </si>
  <si>
    <t>TPLGOAPTR002016</t>
  </si>
  <si>
    <t>KALESH KUMAR</t>
  </si>
  <si>
    <t>TPLGOAHLP006017</t>
  </si>
  <si>
    <t>LAKHAN MUNDA</t>
  </si>
  <si>
    <t>TPLGOAHLP007018</t>
  </si>
  <si>
    <t>CHANDAN PAHAN</t>
  </si>
  <si>
    <t>TPLGOAHLP008019</t>
  </si>
  <si>
    <t>DHIREN MUNDA</t>
  </si>
  <si>
    <t>29-09-1997</t>
  </si>
  <si>
    <t>TPLGOAHLP009020</t>
  </si>
  <si>
    <t>CHITTARANJAN MUNDA</t>
  </si>
  <si>
    <t>TPLGOAHLP010021</t>
  </si>
  <si>
    <t>RAMESH PAHAN</t>
  </si>
  <si>
    <t>BINU PETER</t>
  </si>
  <si>
    <t>WLSO775965</t>
  </si>
  <si>
    <t>TPLGOASHT005024</t>
  </si>
  <si>
    <t>DULAL PAHAN</t>
  </si>
  <si>
    <t>16-02-2026</t>
  </si>
  <si>
    <t>TPLGOASHT006025</t>
  </si>
  <si>
    <t>SANJIT PAHAN</t>
  </si>
  <si>
    <t>TPLGOAMSN002027</t>
  </si>
  <si>
    <t>UJAL MUNDA</t>
  </si>
  <si>
    <t>BRICK MASON</t>
  </si>
  <si>
    <t>TPLGOAHLP011028</t>
  </si>
  <si>
    <t>RABIN MURMU</t>
  </si>
  <si>
    <t>TPLGOAHLP012029</t>
  </si>
  <si>
    <t>PABAN MUNDA PAHAN</t>
  </si>
  <si>
    <t>24-05-1994</t>
  </si>
  <si>
    <t>TPLGOAHLP013030</t>
  </si>
  <si>
    <t>ABHISHEK PAHAN</t>
  </si>
  <si>
    <t>TPLGOAHLP014031</t>
  </si>
  <si>
    <t>BACHEN MUNDA</t>
  </si>
  <si>
    <t>TPLGOAHLP015032</t>
  </si>
  <si>
    <t>BINAY PAHAN</t>
  </si>
  <si>
    <t>19-05-1991</t>
  </si>
  <si>
    <t>TPLGOAHLP016033</t>
  </si>
  <si>
    <t>MILAN MUNDA</t>
  </si>
  <si>
    <t>SL. NO</t>
  </si>
  <si>
    <t>Employee ID</t>
  </si>
  <si>
    <t>Employee Name</t>
  </si>
  <si>
    <t>National ID</t>
  </si>
  <si>
    <t>Date of Joining</t>
  </si>
  <si>
    <t>Aadhaar ID</t>
  </si>
  <si>
    <t>Police Verification ID</t>
  </si>
  <si>
    <t>Hourly Rate</t>
  </si>
  <si>
    <t>Phone</t>
  </si>
  <si>
    <t>D.O.B</t>
  </si>
  <si>
    <t>Health Card ID</t>
  </si>
  <si>
    <t>Bank Account</t>
  </si>
  <si>
    <t>Date of Resignation</t>
  </si>
  <si>
    <t>Site</t>
  </si>
  <si>
    <t>Active</t>
  </si>
  <si>
    <t>Designation Short</t>
  </si>
  <si>
    <t>VIDA-B</t>
  </si>
  <si>
    <t>Inactive</t>
  </si>
  <si>
    <t>GENERAL MASON</t>
  </si>
  <si>
    <t>GENERAL HELPER</t>
  </si>
  <si>
    <t>RANJAN MUNDA</t>
  </si>
  <si>
    <t>AJITH MALO</t>
  </si>
  <si>
    <t>PRAFULLA KUMAR DAS</t>
  </si>
  <si>
    <t>SHYAMOL MALO</t>
  </si>
  <si>
    <t>BIMAL MALO</t>
  </si>
  <si>
    <t>BIKRAM BARMAN</t>
  </si>
  <si>
    <t>SAMIRAN CHANDRA MALO</t>
  </si>
  <si>
    <t>AJAY</t>
  </si>
  <si>
    <t>Row House</t>
  </si>
  <si>
    <t>RAJESH AHIRWAR</t>
  </si>
  <si>
    <t>SUNEEL AHIRWAR</t>
  </si>
  <si>
    <t>Subith S</t>
  </si>
  <si>
    <t>Sreekumar</t>
  </si>
  <si>
    <t>Sethu</t>
  </si>
  <si>
    <t>Anil</t>
  </si>
  <si>
    <t>Deepu</t>
  </si>
  <si>
    <t>Ajindas</t>
  </si>
  <si>
    <t>Santhosh</t>
  </si>
  <si>
    <t>Suresh Babu</t>
  </si>
  <si>
    <t>Satheesh</t>
  </si>
  <si>
    <t>Santhosh Kumar G S</t>
  </si>
  <si>
    <t>Sakriyas</t>
  </si>
  <si>
    <t>Sajan</t>
  </si>
  <si>
    <t>Ragveer</t>
  </si>
  <si>
    <t>Ramdevi</t>
  </si>
  <si>
    <t>Mamta Devi</t>
  </si>
  <si>
    <t>K Ajith Kumar</t>
  </si>
  <si>
    <t>6962 7122 0046</t>
  </si>
  <si>
    <t>Nixon Francis</t>
  </si>
  <si>
    <t>7100 1865 5886</t>
  </si>
  <si>
    <t>Manoj D</t>
  </si>
  <si>
    <t>6399 2716 5411</t>
  </si>
  <si>
    <t>Jayan T</t>
  </si>
  <si>
    <t>2849 3521 0301</t>
  </si>
  <si>
    <t>Shaji B</t>
  </si>
  <si>
    <t>6312 1027 1288</t>
  </si>
  <si>
    <t>Godwin R</t>
  </si>
  <si>
    <t>4481 5441 0073</t>
  </si>
  <si>
    <t>Santhosh Kumar K</t>
  </si>
  <si>
    <t>Anish Vikram</t>
  </si>
  <si>
    <t>Ganeshan</t>
  </si>
  <si>
    <t>Anil Kumar</t>
  </si>
  <si>
    <t>Antony</t>
  </si>
  <si>
    <t>Bijoy Justin</t>
  </si>
  <si>
    <t>Nitin</t>
  </si>
  <si>
    <t>Akhil R</t>
  </si>
  <si>
    <t>Anooj Jayan</t>
  </si>
  <si>
    <t>Sunil</t>
  </si>
  <si>
    <t>Harikumar</t>
  </si>
  <si>
    <t>Ratheesh N</t>
  </si>
  <si>
    <t>Prakash</t>
  </si>
  <si>
    <t>Anjan Nayar</t>
  </si>
  <si>
    <t>Prince</t>
  </si>
  <si>
    <t>Nayak</t>
  </si>
  <si>
    <t>Isac (Saji)</t>
  </si>
  <si>
    <t>Aji</t>
  </si>
  <si>
    <t>NO ID CARD</t>
  </si>
  <si>
    <t>Prasad M</t>
  </si>
  <si>
    <t>Premremesh</t>
  </si>
  <si>
    <t>Ullas S</t>
  </si>
  <si>
    <t>Sunil Kumar</t>
  </si>
  <si>
    <t>Simon R</t>
  </si>
  <si>
    <t>Dileep K S</t>
  </si>
  <si>
    <t>TILE WORK</t>
  </si>
  <si>
    <t>Rinu L</t>
  </si>
  <si>
    <t>Vijayan S</t>
  </si>
  <si>
    <t>Thomas</t>
  </si>
  <si>
    <t>Cleetus (Rajesh)</t>
  </si>
  <si>
    <t>John Britto</t>
  </si>
  <si>
    <t>Vinod</t>
  </si>
  <si>
    <t>Jose</t>
  </si>
  <si>
    <t>Firoz B</t>
  </si>
  <si>
    <t>Lijo Johnson</t>
  </si>
  <si>
    <t>Pabitra Malo</t>
  </si>
  <si>
    <t>Bikram Das</t>
  </si>
  <si>
    <t>Bikram Malo</t>
  </si>
  <si>
    <t>Abhijit Barman</t>
  </si>
  <si>
    <t>Parimal Chandra Malo</t>
  </si>
  <si>
    <t>Kaashi Malo</t>
  </si>
  <si>
    <t>Sanatan Das</t>
  </si>
  <si>
    <t>Lakhan Munda</t>
  </si>
  <si>
    <t>Chandan Pahan</t>
  </si>
  <si>
    <t>Dhiren Munda</t>
  </si>
  <si>
    <t>Ranjan Munda</t>
  </si>
  <si>
    <t>TPLGOASHT005023</t>
  </si>
  <si>
    <t>Dulal Pahan</t>
  </si>
  <si>
    <t>TPLGOASHT006024</t>
  </si>
  <si>
    <t>Sanjit Pahan</t>
  </si>
  <si>
    <t>TPLGOASHT007025</t>
  </si>
  <si>
    <t>Bachen Munda</t>
  </si>
  <si>
    <t>TPLGOAMSN003026</t>
  </si>
  <si>
    <t>Ujal Munda</t>
  </si>
  <si>
    <t>TPLGOAHLP011027</t>
  </si>
  <si>
    <t>Rabin Murmu</t>
  </si>
  <si>
    <t>TPLGOASHT008028</t>
  </si>
  <si>
    <t>Paban Munda Pahan</t>
  </si>
  <si>
    <t>Abhishek Pahan</t>
  </si>
  <si>
    <t>Binay Pahan</t>
  </si>
  <si>
    <t>Milan Munda</t>
  </si>
  <si>
    <t>Ajith Malo</t>
  </si>
  <si>
    <t>Prafulla Kumar Das</t>
  </si>
  <si>
    <t>TPLGOAHLP017034</t>
  </si>
  <si>
    <t>Shyamol Malo</t>
  </si>
  <si>
    <t>TPLGOAHLP018035</t>
  </si>
  <si>
    <t>Bimal Malo</t>
  </si>
  <si>
    <t>TPLGOAHLP019036</t>
  </si>
  <si>
    <t>Bikram Barman</t>
  </si>
  <si>
    <t>TPLGOASHT009037</t>
  </si>
  <si>
    <t>Samiran Chandra Malo</t>
  </si>
  <si>
    <t>TPLGOAFBW004041</t>
  </si>
  <si>
    <t>TPLGOASHT011050</t>
  </si>
  <si>
    <t>TPLGOASHT012062</t>
  </si>
  <si>
    <t>TPLGOAMSN014063</t>
  </si>
  <si>
    <t>TPLGOAHLP025064</t>
  </si>
  <si>
    <t>TPLGOAHLP026065</t>
  </si>
  <si>
    <t>TPLGOAHLP027066</t>
  </si>
  <si>
    <t>TPLGOAHLP028067</t>
  </si>
  <si>
    <t>TPLGOAHLP029068</t>
  </si>
  <si>
    <t>TPLGOAHLP030069</t>
  </si>
  <si>
    <t>EMP. ID</t>
  </si>
  <si>
    <t>EMP. Name</t>
  </si>
  <si>
    <t>Daily Amount</t>
  </si>
  <si>
    <t>Overtime</t>
  </si>
  <si>
    <t>Food and Misc. Expenses</t>
  </si>
  <si>
    <t>TPLGOAPTR003056</t>
  </si>
  <si>
    <t>TPLGOAPTR004057</t>
  </si>
  <si>
    <t>TPLGOAPTR005058</t>
  </si>
  <si>
    <t>TPLGOAPTR006059</t>
  </si>
  <si>
    <t>TPLGOAPTR007060</t>
  </si>
  <si>
    <t>TPLGOAPTR008061</t>
  </si>
  <si>
    <t>TPLGOAMSN004038</t>
  </si>
  <si>
    <t>Ajay</t>
  </si>
  <si>
    <t>TPLGOAMSN005039</t>
  </si>
  <si>
    <t>Rajesh Ahirwar</t>
  </si>
  <si>
    <t>TPLGOAHLP020040</t>
  </si>
  <si>
    <t>Suneel Ahirwar</t>
  </si>
  <si>
    <t>TPLGOAMSN013053</t>
  </si>
  <si>
    <t>TPLGOAHLP023054</t>
  </si>
  <si>
    <t>TPLGOAHLP024055</t>
  </si>
  <si>
    <t>TPLGOAMSN015071</t>
  </si>
  <si>
    <t>TPLGOAPTR009072</t>
  </si>
  <si>
    <t>TPLGOAPTR010073</t>
  </si>
  <si>
    <t>Ratheesh</t>
  </si>
  <si>
    <t>TPLGOAPTR011074</t>
  </si>
  <si>
    <t>TPLGOAPTR012075</t>
  </si>
  <si>
    <t>TPLGOAPTR013076</t>
  </si>
  <si>
    <t>TPLGOAPTR014077</t>
  </si>
  <si>
    <t>TPLGOAPTR015078</t>
  </si>
  <si>
    <t>Saji</t>
  </si>
  <si>
    <t>TPLGOAPTR016079</t>
  </si>
  <si>
    <t>TPLGOAPTR017080</t>
  </si>
  <si>
    <t>Prasad</t>
  </si>
  <si>
    <t>TPLGOAPTR018081</t>
  </si>
  <si>
    <t>Prem</t>
  </si>
  <si>
    <t>TPLGOAPTR019082</t>
  </si>
  <si>
    <t>Ullas</t>
  </si>
  <si>
    <t>TPLGOAPTR020083</t>
  </si>
  <si>
    <t>TPLGOAPTR021084</t>
  </si>
  <si>
    <t>Simon</t>
  </si>
  <si>
    <t>TPLGOATIL001085</t>
  </si>
  <si>
    <t>Dileep</t>
  </si>
  <si>
    <t>TILE WORKER</t>
  </si>
  <si>
    <t>TPLGOATIL002086</t>
  </si>
  <si>
    <t>Rinu</t>
  </si>
  <si>
    <t>TPLGOATIL003087</t>
  </si>
  <si>
    <t>Vijayan</t>
  </si>
  <si>
    <t>TPLGOATIL004088</t>
  </si>
  <si>
    <t>TPLGOATIL005089</t>
  </si>
  <si>
    <t>Rafeek</t>
  </si>
  <si>
    <t>Daily Total</t>
  </si>
  <si>
    <t>Weekly Total</t>
  </si>
  <si>
    <t>Grand Total</t>
  </si>
  <si>
    <t>Date</t>
  </si>
  <si>
    <t>Day</t>
  </si>
  <si>
    <t>IN</t>
  </si>
  <si>
    <t>OUT</t>
  </si>
  <si>
    <t>Hours</t>
  </si>
  <si>
    <t>Balance</t>
  </si>
  <si>
    <t>PABITRA MALO</t>
  </si>
  <si>
    <t>Thursday</t>
  </si>
  <si>
    <t>Friday</t>
  </si>
  <si>
    <t>Saturday</t>
  </si>
  <si>
    <t>Sunday</t>
  </si>
  <si>
    <t>Monday</t>
  </si>
  <si>
    <t>Tuesday</t>
  </si>
  <si>
    <t>Wednesday</t>
  </si>
  <si>
    <t>BASIC</t>
  </si>
  <si>
    <t>WEEKLY</t>
  </si>
  <si>
    <t>TOTAL</t>
  </si>
  <si>
    <t>General Helper</t>
  </si>
  <si>
    <t>Deduction</t>
  </si>
  <si>
    <t xml:space="preserve"> </t>
  </si>
  <si>
    <t>Salary Amount</t>
  </si>
  <si>
    <t>GPAY</t>
  </si>
  <si>
    <t>Bank Details</t>
  </si>
  <si>
    <t>Whatsapp</t>
  </si>
  <si>
    <t>DHIREN</t>
  </si>
  <si>
    <t>Pabitra</t>
  </si>
  <si>
    <t>A/C - 20259037061
IFSC - SBIN0009145</t>
  </si>
  <si>
    <t>Total</t>
  </si>
  <si>
    <t>TPLGOAMSN006042</t>
  </si>
  <si>
    <t>TPLGOAHLP021043</t>
  </si>
  <si>
    <t>TPLGOAMSN007044</t>
  </si>
  <si>
    <t>TPLGOAMSN008045</t>
  </si>
  <si>
    <t>TPLGOASHT010046</t>
  </si>
  <si>
    <t>TPLGOAMSN009047</t>
  </si>
  <si>
    <t>TPLGOAMSN010048</t>
  </si>
  <si>
    <t>TPLGOAMSN011049</t>
  </si>
  <si>
    <t>Santhosh Kumar</t>
  </si>
  <si>
    <t>TPLGOAHLP022051</t>
  </si>
  <si>
    <t>TPLGOAMSN012052</t>
  </si>
  <si>
    <t>Actual Health</t>
  </si>
  <si>
    <t>Adhaar/Driving/ Election ID</t>
  </si>
  <si>
    <t>Actual National ID</t>
  </si>
  <si>
    <t>Column 12</t>
  </si>
  <si>
    <t>Column 1</t>
  </si>
  <si>
    <t>14-11-2026</t>
  </si>
  <si>
    <t>PARIMAL CHANDRA MALO</t>
  </si>
  <si>
    <t>SHUTTERING MISTRY</t>
  </si>
  <si>
    <t>121229 - 1592-PHC-CORLIM-2025-28</t>
  </si>
  <si>
    <t>121231 - 1594-PHC-CORLIM-2025-30</t>
  </si>
  <si>
    <t>121228 - 1591-PHC-CORLIM-2025-27</t>
  </si>
  <si>
    <t>121230 - 1593-PHC-CORLIM-2025-29</t>
  </si>
  <si>
    <t>PABAN MUNDA</t>
  </si>
  <si>
    <t>121234 - 1597-PHC-CORLIM-2025-33</t>
  </si>
  <si>
    <t>121235 - 1598-PHC-CORLIM-2025-26</t>
  </si>
  <si>
    <t>MASON</t>
  </si>
  <si>
    <t>RABIN MURMAN</t>
  </si>
  <si>
    <t>121233 - 1596-PHC-CORLIM-2025-32</t>
  </si>
  <si>
    <t>121232 - 1595-PHC-CORLIM-2025-31</t>
  </si>
  <si>
    <t>SANJITH PAHAN</t>
  </si>
  <si>
    <t>121245 - 1608-PHC-CORLIM-2025-33</t>
  </si>
  <si>
    <t>TPLGOASHT008033</t>
  </si>
  <si>
    <t>TPLGOAHLP016034</t>
  </si>
  <si>
    <t>TPLGOAHLP017035</t>
  </si>
  <si>
    <t>121246-1609-PHC-CORLIM-2025-34</t>
  </si>
  <si>
    <t>TPLGOAHLP018036</t>
  </si>
  <si>
    <t>121247-1610-PHC-CORLIM-2025-35</t>
  </si>
  <si>
    <t>TPLGOAHLP019037</t>
  </si>
  <si>
    <t>18-01-1987</t>
  </si>
  <si>
    <t>21-02-2026</t>
  </si>
  <si>
    <t>TPLGOAHLP019038</t>
  </si>
  <si>
    <t>121224-PHC-CORLIM-2026-27 - 100</t>
  </si>
  <si>
    <t>TPLGOASHT011046</t>
  </si>
  <si>
    <t>TPLGOASHT012050</t>
  </si>
  <si>
    <t>RAGHVEER</t>
  </si>
  <si>
    <t>TPLGOAHLP023053</t>
  </si>
  <si>
    <t>REMADEVI</t>
  </si>
  <si>
    <t>TPLGOASHT008031</t>
  </si>
  <si>
    <t>TPLGOAMSN003039</t>
  </si>
  <si>
    <t>TLPGOAMSN004040</t>
  </si>
  <si>
    <t>TLPGOAHLP020041</t>
  </si>
  <si>
    <t>TPLGOA</t>
  </si>
  <si>
    <t>sabu c/o kannan</t>
  </si>
  <si>
    <t>FBW001</t>
  </si>
  <si>
    <t>FBW002</t>
  </si>
  <si>
    <t>SHT001</t>
  </si>
  <si>
    <t>SHT002</t>
  </si>
  <si>
    <t>MSN001</t>
  </si>
  <si>
    <t>HLP001</t>
  </si>
  <si>
    <t>HLP002</t>
  </si>
  <si>
    <t>SHT003</t>
  </si>
  <si>
    <t>SHT004</t>
  </si>
  <si>
    <t>HLP003</t>
  </si>
  <si>
    <t>HLP004</t>
  </si>
  <si>
    <t>HLP005</t>
  </si>
  <si>
    <t>SPV001</t>
  </si>
  <si>
    <t>MSN002</t>
  </si>
  <si>
    <t>PTR001</t>
  </si>
  <si>
    <t>PTR002</t>
  </si>
  <si>
    <t>HLP006</t>
  </si>
  <si>
    <t>HLP007</t>
  </si>
  <si>
    <t>HLP008</t>
  </si>
  <si>
    <t>HLP009</t>
  </si>
  <si>
    <t>HLP010</t>
  </si>
  <si>
    <t>TPLGOAFBW003022</t>
  </si>
  <si>
    <t>FBW003</t>
  </si>
  <si>
    <t>SHT005</t>
  </si>
  <si>
    <t>SHT006</t>
  </si>
  <si>
    <t>SHT007</t>
  </si>
  <si>
    <t>MSN003</t>
  </si>
  <si>
    <t>HLP011</t>
  </si>
  <si>
    <t>SHT008</t>
  </si>
  <si>
    <t>HLP012</t>
  </si>
  <si>
    <t>HLP013</t>
  </si>
  <si>
    <t>HLP014</t>
  </si>
  <si>
    <t>HLP015</t>
  </si>
  <si>
    <t>HLP016</t>
  </si>
  <si>
    <t>HLP017</t>
  </si>
  <si>
    <t>HLP018</t>
  </si>
  <si>
    <t>HLP019</t>
  </si>
  <si>
    <t>SHT009</t>
  </si>
  <si>
    <t>MSN004</t>
  </si>
  <si>
    <t>MSN005</t>
  </si>
  <si>
    <t>HLP020</t>
  </si>
  <si>
    <t>FBW004</t>
  </si>
  <si>
    <t>MSN006</t>
  </si>
  <si>
    <t>HLP021</t>
  </si>
  <si>
    <t>MSN007</t>
  </si>
  <si>
    <t>MSN008</t>
  </si>
  <si>
    <t>SHT010</t>
  </si>
  <si>
    <t>MSN009</t>
  </si>
  <si>
    <t>MSN010</t>
  </si>
  <si>
    <t>MSN011</t>
  </si>
  <si>
    <t>SHT011</t>
  </si>
  <si>
    <t>HLP022</t>
  </si>
  <si>
    <t>MSN012</t>
  </si>
  <si>
    <t>MSN013</t>
  </si>
  <si>
    <t>HLP023</t>
  </si>
  <si>
    <t>HLP024</t>
  </si>
  <si>
    <t>PTR003</t>
  </si>
  <si>
    <t>PTR004</t>
  </si>
  <si>
    <t>PTR005</t>
  </si>
  <si>
    <t>PTR006</t>
  </si>
  <si>
    <t>PTR007</t>
  </si>
  <si>
    <t>PTR008</t>
  </si>
  <si>
    <t>SHT012</t>
  </si>
  <si>
    <t>MSN014</t>
  </si>
  <si>
    <t>HLP025</t>
  </si>
  <si>
    <t>HLP026</t>
  </si>
  <si>
    <t>HLP027</t>
  </si>
  <si>
    <t>HLP028</t>
  </si>
  <si>
    <t>HLP029</t>
  </si>
  <si>
    <t>HLP030</t>
  </si>
  <si>
    <t>TPLGOASPV002070</t>
  </si>
  <si>
    <t>SPV002</t>
  </si>
  <si>
    <t>MSN015</t>
  </si>
  <si>
    <t>PTR009</t>
  </si>
  <si>
    <t>PTR010</t>
  </si>
  <si>
    <t>PTR011</t>
  </si>
  <si>
    <t>PTR012</t>
  </si>
  <si>
    <t>PTR013</t>
  </si>
  <si>
    <t>PTR014</t>
  </si>
  <si>
    <t>PTR015</t>
  </si>
  <si>
    <t>PTR016</t>
  </si>
  <si>
    <t>PTR017</t>
  </si>
  <si>
    <t>PTR018</t>
  </si>
  <si>
    <t>PTR019</t>
  </si>
  <si>
    <t>PTR020</t>
  </si>
  <si>
    <t>PTR021</t>
  </si>
  <si>
    <t>TIL001</t>
  </si>
  <si>
    <t>TIL002</t>
  </si>
  <si>
    <t>TIL003</t>
  </si>
  <si>
    <t>TIL004</t>
  </si>
  <si>
    <t>TIL005</t>
  </si>
  <si>
    <t>TPLGOAHLP031090</t>
  </si>
  <si>
    <t>HLP031</t>
  </si>
  <si>
    <t>TPLGOAPTR022091</t>
  </si>
  <si>
    <t>PTR022</t>
  </si>
  <si>
    <t>TPLGOAPTR023092</t>
  </si>
  <si>
    <t>Johnson</t>
  </si>
  <si>
    <t>PTR023</t>
  </si>
  <si>
    <t>TPLGOAPTR024093</t>
  </si>
  <si>
    <t>PTR024</t>
  </si>
  <si>
    <t>TPLGOAPTR025094</t>
  </si>
  <si>
    <t>PTR025</t>
  </si>
  <si>
    <t>TPLGOASPV003095</t>
  </si>
  <si>
    <t>SPV003</t>
  </si>
  <si>
    <t>TPLGOAPTR026096</t>
  </si>
  <si>
    <t>PTR026</t>
  </si>
  <si>
    <t>TPLGOA097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</si>
</sst>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mm\-dd\-yyyy"/>
    <numFmt numFmtId="166" formatCode="dd&quot;-&quot;mm&quot;-&quot;yyyy"/>
    <numFmt numFmtId="170" formatCode="[$₹]#,##0.00"/>
    <numFmt numFmtId="171" formatCode="dd&quot;/&quot;mm"/>
    <numFmt numFmtId="172" formatCode="hh&quot;:&quot;mmAM/PM"/>
    <numFmt numFmtId="173" formatCode="&quot;+ ₹&quot;#,##0.00;[Red]&quot;- ₹&quot;#,##0.00"/>
    <numFmt numFmtId="174" formatCode="#,##0.00;\(#,##0.00\)"/>
    <numFmt numFmtId="175" formatCode="m\-d\-yyyy"/>
    <numFmt numFmtId="176" formatCode="hh&quot;:&quot;mm&quot; &quot;AM/PM"/>
    <numFmt numFmtId="177" formatCode="h:mm\ AM/PM"/>
  </numFmts>
  <fonts count="3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Roboto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8"/>
      <color theme="1"/>
      <name val="Arial"/>
      <scheme val="minor"/>
    </font>
    <font>
      <b/>
      <sz val="18"/>
      <color theme="1"/>
      <name val="Arial"/>
    </font>
    <font>
      <sz val="18"/>
      <color theme="1"/>
      <name val="Arial"/>
      <scheme val="minor"/>
    </font>
    <font>
      <sz val="18"/>
      <color theme="1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  <scheme val="minor"/>
    </font>
    <font>
      <sz val="18"/>
      <color rgb="FF000000"/>
      <name val="Arial"/>
    </font>
    <font>
      <sz val="10"/>
      <color rgb="FF434343"/>
      <name val="Roboto"/>
    </font>
    <font>
      <sz val="10"/>
      <color rgb="FF2C481F"/>
      <name val="Roboto"/>
    </font>
    <font>
      <sz val="10"/>
      <color rgb="FF2A3243"/>
      <name val="Roboto"/>
    </font>
    <font>
      <sz val="10"/>
      <color rgb="FF133819"/>
      <name val="Roboto"/>
    </font>
    <font>
      <sz val="10"/>
      <color rgb="FF3F4170"/>
      <name val="Roboto"/>
    </font>
    <font>
      <sz val="10"/>
      <color rgb="FF3F4528"/>
      <name val="Roboto"/>
    </font>
    <font>
      <sz val="10"/>
      <color rgb="FF131D38"/>
      <name val="Roboto"/>
    </font>
    <font>
      <sz val="11"/>
      <color theme="1"/>
      <name val="Calibri"/>
    </font>
    <font>
      <sz val="11"/>
      <color rgb="FF000000"/>
      <name val="Calibri"/>
    </font>
    <font>
      <sz val="9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rgb="FF0A53A8"/>
      <name val="Roboto"/>
    </font>
    <font>
      <sz val="10"/>
      <color rgb="FF11734B"/>
      <name val="Roboto"/>
    </font>
    <font>
      <sz val="9"/>
      <color rgb="FFFF0000"/>
      <name val="Calibri"/>
      <family val="2"/>
    </font>
    <font>
      <sz val="9"/>
      <color rgb="FF434343"/>
      <name val="Calibri"/>
      <family val="2"/>
    </font>
    <font>
      <sz val="10"/>
      <color rgb="FFB10202"/>
      <name val="Roboto"/>
    </font>
    <font>
      <sz val="9"/>
      <color rgb="FF473821"/>
      <name val="Calibri"/>
      <family val="2"/>
    </font>
    <font>
      <sz val="9"/>
      <color rgb="FF0A53A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284E3F"/>
      </top>
      <bottom style="medium">
        <color rgb="FFF6F8F9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166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left" vertical="center"/>
    </xf>
    <xf numFmtId="170" fontId="1" fillId="0" borderId="1" xfId="0" applyNumberFormat="1" applyFont="1" applyBorder="1" applyAlignment="1">
      <alignment vertical="center"/>
    </xf>
    <xf numFmtId="170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70" fontId="1" fillId="0" borderId="6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70" fontId="1" fillId="0" borderId="7" xfId="0" applyNumberFormat="1" applyFont="1" applyBorder="1" applyAlignment="1">
      <alignment vertical="center"/>
    </xf>
    <xf numFmtId="170" fontId="4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5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5" fillId="0" borderId="9" xfId="0" applyFont="1" applyBorder="1"/>
    <xf numFmtId="170" fontId="5" fillId="0" borderId="10" xfId="0" applyNumberFormat="1" applyFont="1" applyBorder="1" applyAlignment="1">
      <alignment horizontal="center"/>
    </xf>
    <xf numFmtId="0" fontId="7" fillId="0" borderId="0" xfId="0" applyFont="1"/>
    <xf numFmtId="171" fontId="7" fillId="0" borderId="12" xfId="0" applyNumberFormat="1" applyFont="1" applyBorder="1"/>
    <xf numFmtId="0" fontId="7" fillId="0" borderId="1" xfId="0" applyFont="1" applyBorder="1"/>
    <xf numFmtId="172" fontId="7" fillId="0" borderId="1" xfId="0" applyNumberFormat="1" applyFont="1" applyBorder="1"/>
    <xf numFmtId="4" fontId="7" fillId="0" borderId="1" xfId="0" applyNumberFormat="1" applyFont="1" applyBorder="1"/>
    <xf numFmtId="170" fontId="7" fillId="0" borderId="13" xfId="0" applyNumberFormat="1" applyFont="1" applyBorder="1" applyAlignment="1">
      <alignment horizontal="center"/>
    </xf>
    <xf numFmtId="4" fontId="7" fillId="0" borderId="2" xfId="0" applyNumberFormat="1" applyFont="1" applyBorder="1"/>
    <xf numFmtId="170" fontId="7" fillId="0" borderId="15" xfId="0" applyNumberFormat="1" applyFont="1" applyBorder="1" applyAlignment="1">
      <alignment horizontal="center"/>
    </xf>
    <xf numFmtId="0" fontId="7" fillId="0" borderId="16" xfId="0" applyFont="1" applyBorder="1"/>
    <xf numFmtId="170" fontId="7" fillId="0" borderId="16" xfId="0" applyNumberFormat="1" applyFont="1" applyBorder="1"/>
    <xf numFmtId="170" fontId="7" fillId="0" borderId="16" xfId="0" applyNumberFormat="1" applyFont="1" applyBorder="1" applyAlignment="1">
      <alignment horizontal="center"/>
    </xf>
    <xf numFmtId="0" fontId="7" fillId="0" borderId="17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0" fontId="5" fillId="0" borderId="16" xfId="0" applyFont="1" applyBorder="1"/>
    <xf numFmtId="170" fontId="5" fillId="0" borderId="16" xfId="0" applyNumberFormat="1" applyFont="1" applyBorder="1"/>
    <xf numFmtId="0" fontId="7" fillId="0" borderId="0" xfId="0" applyFont="1" applyAlignment="1">
      <alignment wrapText="1"/>
    </xf>
    <xf numFmtId="170" fontId="7" fillId="0" borderId="0" xfId="0" applyNumberFormat="1" applyFont="1" applyAlignment="1">
      <alignment horizontal="center"/>
    </xf>
    <xf numFmtId="173" fontId="7" fillId="2" borderId="13" xfId="0" applyNumberFormat="1" applyFont="1" applyFill="1" applyBorder="1" applyAlignment="1">
      <alignment horizontal="center"/>
    </xf>
    <xf numFmtId="174" fontId="7" fillId="0" borderId="0" xfId="0" applyNumberFormat="1" applyFont="1"/>
    <xf numFmtId="173" fontId="7" fillId="0" borderId="13" xfId="0" applyNumberFormat="1" applyFont="1" applyBorder="1" applyAlignment="1">
      <alignment horizontal="center"/>
    </xf>
    <xf numFmtId="173" fontId="7" fillId="0" borderId="15" xfId="0" applyNumberFormat="1" applyFont="1" applyBorder="1" applyAlignment="1">
      <alignment horizontal="center"/>
    </xf>
    <xf numFmtId="0" fontId="5" fillId="0" borderId="9" xfId="0" applyFont="1" applyBorder="1" applyAlignment="1">
      <alignment wrapText="1"/>
    </xf>
    <xf numFmtId="170" fontId="5" fillId="0" borderId="10" xfId="0" applyNumberFormat="1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172" fontId="7" fillId="0" borderId="1" xfId="0" applyNumberFormat="1" applyFont="1" applyBorder="1" applyAlignment="1">
      <alignment wrapText="1"/>
    </xf>
    <xf numFmtId="4" fontId="7" fillId="0" borderId="1" xfId="0" applyNumberFormat="1" applyFont="1" applyBorder="1" applyAlignment="1">
      <alignment wrapText="1"/>
    </xf>
    <xf numFmtId="170" fontId="7" fillId="0" borderId="13" xfId="0" applyNumberFormat="1" applyFont="1" applyBorder="1" applyAlignment="1">
      <alignment horizontal="center" wrapText="1"/>
    </xf>
    <xf numFmtId="4" fontId="7" fillId="0" borderId="2" xfId="0" applyNumberFormat="1" applyFont="1" applyBorder="1" applyAlignment="1">
      <alignment wrapText="1"/>
    </xf>
    <xf numFmtId="170" fontId="7" fillId="0" borderId="15" xfId="0" applyNumberFormat="1" applyFont="1" applyBorder="1" applyAlignment="1">
      <alignment horizontal="center" wrapText="1"/>
    </xf>
    <xf numFmtId="171" fontId="7" fillId="0" borderId="12" xfId="0" applyNumberFormat="1" applyFont="1" applyBorder="1" applyAlignment="1">
      <alignment wrapText="1"/>
    </xf>
    <xf numFmtId="0" fontId="7" fillId="0" borderId="16" xfId="0" applyFont="1" applyBorder="1" applyAlignment="1">
      <alignment wrapText="1"/>
    </xf>
    <xf numFmtId="170" fontId="7" fillId="0" borderId="16" xfId="0" applyNumberFormat="1" applyFont="1" applyBorder="1" applyAlignment="1">
      <alignment wrapText="1"/>
    </xf>
    <xf numFmtId="170" fontId="7" fillId="0" borderId="16" xfId="0" applyNumberFormat="1" applyFont="1" applyBorder="1" applyAlignment="1">
      <alignment horizontal="center" wrapText="1"/>
    </xf>
    <xf numFmtId="0" fontId="7" fillId="0" borderId="17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7" fillId="0" borderId="22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/>
    <xf numFmtId="170" fontId="5" fillId="0" borderId="0" xfId="0" applyNumberFormat="1" applyFont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0" fontId="8" fillId="0" borderId="16" xfId="0" applyNumberFormat="1" applyFont="1" applyBorder="1" applyAlignment="1">
      <alignment horizontal="right"/>
    </xf>
    <xf numFmtId="170" fontId="8" fillId="0" borderId="16" xfId="0" applyNumberFormat="1" applyFont="1" applyBorder="1" applyAlignment="1">
      <alignment horizontal="center"/>
    </xf>
    <xf numFmtId="170" fontId="6" fillId="0" borderId="16" xfId="0" applyNumberFormat="1" applyFont="1" applyBorder="1" applyAlignment="1">
      <alignment horizontal="right"/>
    </xf>
    <xf numFmtId="0" fontId="10" fillId="0" borderId="16" xfId="0" applyFont="1" applyBorder="1"/>
    <xf numFmtId="170" fontId="10" fillId="0" borderId="16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10" xfId="0" applyFont="1" applyBorder="1"/>
    <xf numFmtId="0" fontId="7" fillId="0" borderId="13" xfId="0" applyFont="1" applyBorder="1"/>
    <xf numFmtId="0" fontId="7" fillId="0" borderId="15" xfId="0" applyFont="1" applyBorder="1"/>
    <xf numFmtId="0" fontId="7" fillId="0" borderId="2" xfId="0" applyFont="1" applyBorder="1"/>
    <xf numFmtId="0" fontId="8" fillId="0" borderId="0" xfId="0" applyFont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0" fontId="6" fillId="0" borderId="1" xfId="0" applyFont="1" applyBorder="1" applyAlignment="1">
      <alignment wrapText="1"/>
    </xf>
    <xf numFmtId="0" fontId="11" fillId="0" borderId="0" xfId="0" applyFont="1"/>
    <xf numFmtId="170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70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170" fontId="6" fillId="0" borderId="1" xfId="0" applyNumberFormat="1" applyFont="1" applyBorder="1" applyAlignment="1">
      <alignment wrapText="1"/>
    </xf>
    <xf numFmtId="170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0" fontId="13" fillId="3" borderId="23" xfId="0" applyFont="1" applyFill="1" applyBorder="1" applyAlignment="1">
      <alignment vertical="center"/>
    </xf>
    <xf numFmtId="0" fontId="13" fillId="3" borderId="24" xfId="0" applyFont="1" applyFill="1" applyBorder="1" applyAlignment="1">
      <alignment vertical="center"/>
    </xf>
    <xf numFmtId="0" fontId="13" fillId="3" borderId="24" xfId="0" applyFont="1" applyFill="1" applyBorder="1" applyAlignment="1">
      <alignment horizontal="right" vertical="center"/>
    </xf>
    <xf numFmtId="164" fontId="13" fillId="3" borderId="24" xfId="0" applyNumberFormat="1" applyFont="1" applyFill="1" applyBorder="1" applyAlignment="1">
      <alignment horizontal="right" vertical="center"/>
    </xf>
    <xf numFmtId="0" fontId="14" fillId="3" borderId="2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3" fillId="4" borderId="26" xfId="0" applyFont="1" applyFill="1" applyBorder="1" applyAlignment="1">
      <alignment vertical="center"/>
    </xf>
    <xf numFmtId="0" fontId="13" fillId="4" borderId="27" xfId="0" applyFont="1" applyFill="1" applyBorder="1" applyAlignment="1">
      <alignment vertical="center"/>
    </xf>
    <xf numFmtId="0" fontId="13" fillId="4" borderId="27" xfId="0" applyFont="1" applyFill="1" applyBorder="1" applyAlignment="1">
      <alignment horizontal="right" vertical="center"/>
    </xf>
    <xf numFmtId="164" fontId="13" fillId="4" borderId="27" xfId="0" applyNumberFormat="1" applyFont="1" applyFill="1" applyBorder="1" applyAlignment="1">
      <alignment horizontal="right" vertical="center"/>
    </xf>
    <xf numFmtId="0" fontId="14" fillId="4" borderId="28" xfId="0" applyFont="1" applyFill="1" applyBorder="1" applyAlignment="1">
      <alignment vertical="center"/>
    </xf>
    <xf numFmtId="0" fontId="10" fillId="3" borderId="24" xfId="0" applyFont="1" applyFill="1" applyBorder="1" applyAlignment="1">
      <alignment vertical="center"/>
    </xf>
    <xf numFmtId="0" fontId="15" fillId="3" borderId="25" xfId="0" applyFont="1" applyFill="1" applyBorder="1" applyAlignment="1">
      <alignment vertical="center"/>
    </xf>
    <xf numFmtId="0" fontId="10" fillId="4" borderId="27" xfId="0" applyFont="1" applyFill="1" applyBorder="1" applyAlignment="1">
      <alignment vertical="center"/>
    </xf>
    <xf numFmtId="0" fontId="15" fillId="4" borderId="28" xfId="0" applyFont="1" applyFill="1" applyBorder="1" applyAlignment="1">
      <alignment vertical="center"/>
    </xf>
    <xf numFmtId="0" fontId="16" fillId="4" borderId="28" xfId="0" applyFont="1" applyFill="1" applyBorder="1" applyAlignment="1">
      <alignment vertical="center"/>
    </xf>
    <xf numFmtId="0" fontId="17" fillId="3" borderId="25" xfId="0" applyFont="1" applyFill="1" applyBorder="1" applyAlignment="1">
      <alignment vertical="center"/>
    </xf>
    <xf numFmtId="0" fontId="16" fillId="3" borderId="25" xfId="0" applyFont="1" applyFill="1" applyBorder="1" applyAlignment="1">
      <alignment vertical="center"/>
    </xf>
    <xf numFmtId="175" fontId="13" fillId="4" borderId="27" xfId="0" applyNumberFormat="1" applyFont="1" applyFill="1" applyBorder="1" applyAlignment="1">
      <alignment horizontal="right" vertical="center"/>
    </xf>
    <xf numFmtId="0" fontId="18" fillId="4" borderId="28" xfId="0" applyFont="1" applyFill="1" applyBorder="1" applyAlignment="1">
      <alignment vertical="center"/>
    </xf>
    <xf numFmtId="0" fontId="13" fillId="3" borderId="29" xfId="0" applyFont="1" applyFill="1" applyBorder="1" applyAlignment="1">
      <alignment vertical="center"/>
    </xf>
    <xf numFmtId="0" fontId="13" fillId="3" borderId="30" xfId="0" applyFont="1" applyFill="1" applyBorder="1" applyAlignment="1">
      <alignment vertical="center"/>
    </xf>
    <xf numFmtId="0" fontId="10" fillId="3" borderId="30" xfId="0" applyFont="1" applyFill="1" applyBorder="1" applyAlignment="1">
      <alignment vertical="center"/>
    </xf>
    <xf numFmtId="0" fontId="13" fillId="3" borderId="30" xfId="0" applyFont="1" applyFill="1" applyBorder="1" applyAlignment="1">
      <alignment horizontal="right" vertical="center"/>
    </xf>
    <xf numFmtId="0" fontId="19" fillId="3" borderId="31" xfId="0" applyFont="1" applyFill="1" applyBorder="1" applyAlignment="1">
      <alignment vertical="center"/>
    </xf>
    <xf numFmtId="0" fontId="20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right"/>
    </xf>
    <xf numFmtId="164" fontId="21" fillId="0" borderId="0" xfId="0" applyNumberFormat="1" applyFont="1" applyAlignment="1">
      <alignment horizontal="right"/>
    </xf>
    <xf numFmtId="175" fontId="21" fillId="0" borderId="0" xfId="0" applyNumberFormat="1" applyFont="1" applyAlignment="1">
      <alignment horizontal="right"/>
    </xf>
    <xf numFmtId="170" fontId="7" fillId="0" borderId="16" xfId="0" applyNumberFormat="1" applyFont="1" applyBorder="1" applyAlignment="1">
      <alignment horizontal="right"/>
    </xf>
    <xf numFmtId="4" fontId="7" fillId="2" borderId="1" xfId="0" applyNumberFormat="1" applyFont="1" applyFill="1" applyBorder="1"/>
    <xf numFmtId="176" fontId="7" fillId="0" borderId="1" xfId="0" applyNumberFormat="1" applyFont="1" applyBorder="1"/>
    <xf numFmtId="170" fontId="7" fillId="2" borderId="16" xfId="0" applyNumberFormat="1" applyFont="1" applyFill="1" applyBorder="1"/>
    <xf numFmtId="170" fontId="5" fillId="2" borderId="16" xfId="0" applyNumberFormat="1" applyFont="1" applyFill="1" applyBorder="1"/>
    <xf numFmtId="172" fontId="7" fillId="0" borderId="2" xfId="0" applyNumberFormat="1" applyFont="1" applyBorder="1" applyAlignment="1">
      <alignment wrapText="1"/>
    </xf>
    <xf numFmtId="172" fontId="8" fillId="0" borderId="1" xfId="0" applyNumberFormat="1" applyFont="1" applyBorder="1" applyAlignment="1">
      <alignment horizontal="right"/>
    </xf>
    <xf numFmtId="177" fontId="7" fillId="0" borderId="1" xfId="0" applyNumberFormat="1" applyFont="1" applyBorder="1"/>
    <xf numFmtId="0" fontId="5" fillId="0" borderId="10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15" xfId="0" applyFont="1" applyBorder="1" applyAlignment="1">
      <alignment wrapText="1"/>
    </xf>
    <xf numFmtId="170" fontId="5" fillId="0" borderId="16" xfId="0" applyNumberFormat="1" applyFont="1" applyBorder="1" applyAlignment="1">
      <alignment wrapText="1"/>
    </xf>
    <xf numFmtId="0" fontId="5" fillId="0" borderId="1" xfId="0" applyFont="1" applyBorder="1"/>
    <xf numFmtId="171" fontId="7" fillId="0" borderId="1" xfId="0" applyNumberFormat="1" applyFont="1" applyBorder="1"/>
    <xf numFmtId="170" fontId="7" fillId="0" borderId="1" xfId="0" applyNumberFormat="1" applyFont="1" applyBorder="1"/>
    <xf numFmtId="170" fontId="5" fillId="0" borderId="1" xfId="0" applyNumberFormat="1" applyFont="1" applyBorder="1"/>
    <xf numFmtId="0" fontId="8" fillId="0" borderId="2" xfId="0" applyFont="1" applyBorder="1" applyAlignment="1">
      <alignment vertical="center" wrapText="1"/>
    </xf>
    <xf numFmtId="0" fontId="9" fillId="0" borderId="6" xfId="0" applyFont="1" applyBorder="1"/>
    <xf numFmtId="0" fontId="9" fillId="0" borderId="19" xfId="0" applyFont="1" applyBorder="1"/>
    <xf numFmtId="0" fontId="7" fillId="0" borderId="11" xfId="0" applyFont="1" applyBorder="1" applyAlignment="1">
      <alignment vertical="center" wrapText="1"/>
    </xf>
    <xf numFmtId="0" fontId="9" fillId="0" borderId="14" xfId="0" applyFont="1" applyBorder="1"/>
    <xf numFmtId="0" fontId="9" fillId="0" borderId="18" xfId="0" applyFont="1" applyBorder="1"/>
    <xf numFmtId="49" fontId="8" fillId="0" borderId="2" xfId="0" applyNumberFormat="1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9" fillId="0" borderId="32" xfId="0" applyFont="1" applyBorder="1"/>
    <xf numFmtId="0" fontId="22" fillId="5" borderId="7" xfId="0" applyFont="1" applyFill="1" applyBorder="1" applyAlignment="1">
      <alignment horizontal="center" vertical="center" wrapText="1"/>
    </xf>
    <xf numFmtId="0" fontId="22" fillId="5" borderId="33" xfId="0" applyFont="1" applyFill="1" applyBorder="1" applyAlignment="1">
      <alignment horizontal="center" vertical="center" wrapText="1"/>
    </xf>
    <xf numFmtId="0" fontId="22" fillId="5" borderId="33" xfId="0" applyFont="1" applyFill="1" applyBorder="1" applyAlignment="1">
      <alignment vertical="center" wrapText="1"/>
    </xf>
    <xf numFmtId="14" fontId="22" fillId="5" borderId="33" xfId="0" applyNumberFormat="1" applyFont="1" applyFill="1" applyBorder="1" applyAlignment="1">
      <alignment horizontal="right" vertical="center" wrapText="1"/>
    </xf>
    <xf numFmtId="0" fontId="23" fillId="5" borderId="33" xfId="0" applyFont="1" applyFill="1" applyBorder="1" applyAlignment="1">
      <alignment vertical="center" wrapText="1"/>
    </xf>
    <xf numFmtId="0" fontId="22" fillId="5" borderId="33" xfId="0" applyFont="1" applyFill="1" applyBorder="1" applyAlignment="1">
      <alignment horizontal="right" vertical="center" wrapText="1"/>
    </xf>
    <xf numFmtId="0" fontId="13" fillId="5" borderId="33" xfId="0" applyFont="1" applyFill="1" applyBorder="1" applyAlignment="1">
      <alignment horizontal="right" vertical="center" wrapText="1"/>
    </xf>
    <xf numFmtId="0" fontId="24" fillId="5" borderId="33" xfId="0" applyFont="1" applyFill="1" applyBorder="1" applyAlignment="1">
      <alignment vertical="center" wrapText="1"/>
    </xf>
    <xf numFmtId="0" fontId="25" fillId="5" borderId="34" xfId="0" applyFont="1" applyFill="1" applyBorder="1" applyAlignment="1">
      <alignment vertical="center" wrapText="1"/>
    </xf>
    <xf numFmtId="0" fontId="26" fillId="6" borderId="35" xfId="0" applyFont="1" applyFill="1" applyBorder="1" applyAlignment="1">
      <alignment horizontal="center" vertical="center" wrapText="1"/>
    </xf>
    <xf numFmtId="0" fontId="22" fillId="6" borderId="36" xfId="0" applyFont="1" applyFill="1" applyBorder="1" applyAlignment="1">
      <alignment horizontal="center" vertical="center" wrapText="1"/>
    </xf>
    <xf numFmtId="0" fontId="27" fillId="6" borderId="36" xfId="0" applyFont="1" applyFill="1" applyBorder="1" applyAlignment="1">
      <alignment vertical="center" wrapText="1"/>
    </xf>
    <xf numFmtId="0" fontId="23" fillId="6" borderId="36" xfId="0" applyFont="1" applyFill="1" applyBorder="1" applyAlignment="1">
      <alignment vertical="center" wrapText="1"/>
    </xf>
    <xf numFmtId="0" fontId="27" fillId="6" borderId="36" xfId="0" applyFont="1" applyFill="1" applyBorder="1" applyAlignment="1">
      <alignment horizontal="right" vertical="center" wrapText="1"/>
    </xf>
    <xf numFmtId="0" fontId="27" fillId="6" borderId="36" xfId="0" applyFont="1" applyFill="1" applyBorder="1" applyAlignment="1">
      <alignment horizontal="center" vertical="center" wrapText="1"/>
    </xf>
    <xf numFmtId="0" fontId="13" fillId="6" borderId="36" xfId="0" applyFont="1" applyFill="1" applyBorder="1" applyAlignment="1">
      <alignment horizontal="right" vertical="center" wrapText="1"/>
    </xf>
    <xf numFmtId="14" fontId="27" fillId="6" borderId="36" xfId="0" applyNumberFormat="1" applyFont="1" applyFill="1" applyBorder="1" applyAlignment="1">
      <alignment horizontal="center" vertical="center" wrapText="1"/>
    </xf>
    <xf numFmtId="0" fontId="24" fillId="6" borderId="36" xfId="0" applyFont="1" applyFill="1" applyBorder="1" applyAlignment="1">
      <alignment vertical="center" wrapText="1"/>
    </xf>
    <xf numFmtId="0" fontId="25" fillId="6" borderId="37" xfId="0" applyFont="1" applyFill="1" applyBorder="1" applyAlignment="1">
      <alignment vertical="center" wrapText="1"/>
    </xf>
    <xf numFmtId="0" fontId="22" fillId="5" borderId="35" xfId="0" applyFont="1" applyFill="1" applyBorder="1" applyAlignment="1">
      <alignment horizontal="center" vertical="center" wrapText="1"/>
    </xf>
    <xf numFmtId="0" fontId="22" fillId="5" borderId="36" xfId="0" applyFont="1" applyFill="1" applyBorder="1" applyAlignment="1">
      <alignment horizontal="center" vertical="center" wrapText="1"/>
    </xf>
    <xf numFmtId="0" fontId="22" fillId="5" borderId="36" xfId="0" applyFont="1" applyFill="1" applyBorder="1" applyAlignment="1">
      <alignment vertical="center" wrapText="1"/>
    </xf>
    <xf numFmtId="0" fontId="23" fillId="5" borderId="36" xfId="0" applyFont="1" applyFill="1" applyBorder="1" applyAlignment="1">
      <alignment vertical="center" wrapText="1"/>
    </xf>
    <xf numFmtId="14" fontId="22" fillId="5" borderId="36" xfId="0" applyNumberFormat="1" applyFont="1" applyFill="1" applyBorder="1" applyAlignment="1">
      <alignment vertical="center" wrapText="1"/>
    </xf>
    <xf numFmtId="0" fontId="22" fillId="5" borderId="36" xfId="0" applyFont="1" applyFill="1" applyBorder="1" applyAlignment="1">
      <alignment horizontal="right" vertical="center" wrapText="1"/>
    </xf>
    <xf numFmtId="0" fontId="13" fillId="5" borderId="36" xfId="0" applyFont="1" applyFill="1" applyBorder="1" applyAlignment="1">
      <alignment horizontal="right" vertical="center" wrapText="1"/>
    </xf>
    <xf numFmtId="14" fontId="22" fillId="5" borderId="36" xfId="0" applyNumberFormat="1" applyFont="1" applyFill="1" applyBorder="1" applyAlignment="1">
      <alignment horizontal="center" vertical="center" wrapText="1"/>
    </xf>
    <xf numFmtId="14" fontId="22" fillId="5" borderId="36" xfId="0" applyNumberFormat="1" applyFont="1" applyFill="1" applyBorder="1" applyAlignment="1">
      <alignment horizontal="right" vertical="center" wrapText="1"/>
    </xf>
    <xf numFmtId="0" fontId="24" fillId="5" borderId="36" xfId="0" applyFont="1" applyFill="1" applyBorder="1" applyAlignment="1">
      <alignment vertical="center" wrapText="1"/>
    </xf>
    <xf numFmtId="0" fontId="25" fillId="5" borderId="37" xfId="0" applyFont="1" applyFill="1" applyBorder="1" applyAlignment="1">
      <alignment vertical="center" wrapText="1"/>
    </xf>
    <xf numFmtId="0" fontId="26" fillId="6" borderId="36" xfId="0" applyFont="1" applyFill="1" applyBorder="1" applyAlignment="1">
      <alignment vertical="center" wrapText="1"/>
    </xf>
    <xf numFmtId="14" fontId="26" fillId="6" borderId="36" xfId="0" applyNumberFormat="1" applyFont="1" applyFill="1" applyBorder="1" applyAlignment="1">
      <alignment vertical="center" wrapText="1"/>
    </xf>
    <xf numFmtId="0" fontId="26" fillId="6" borderId="36" xfId="0" applyFont="1" applyFill="1" applyBorder="1" applyAlignment="1">
      <alignment horizontal="right" vertical="center" wrapText="1"/>
    </xf>
    <xf numFmtId="0" fontId="26" fillId="6" borderId="36" xfId="0" applyFont="1" applyFill="1" applyBorder="1" applyAlignment="1">
      <alignment horizontal="center" vertical="center" wrapText="1"/>
    </xf>
    <xf numFmtId="14" fontId="26" fillId="6" borderId="36" xfId="0" applyNumberFormat="1" applyFont="1" applyFill="1" applyBorder="1" applyAlignment="1">
      <alignment horizontal="center" vertical="center" wrapText="1"/>
    </xf>
    <xf numFmtId="14" fontId="26" fillId="6" borderId="36" xfId="0" applyNumberFormat="1" applyFont="1" applyFill="1" applyBorder="1" applyAlignment="1">
      <alignment horizontal="right" vertical="center" wrapText="1"/>
    </xf>
    <xf numFmtId="0" fontId="28" fillId="6" borderId="37" xfId="0" applyFont="1" applyFill="1" applyBorder="1" applyAlignment="1">
      <alignment vertical="center" wrapText="1"/>
    </xf>
    <xf numFmtId="0" fontId="27" fillId="5" borderId="35" xfId="0" applyFont="1" applyFill="1" applyBorder="1" applyAlignment="1">
      <alignment horizontal="center" vertical="center" wrapText="1"/>
    </xf>
    <xf numFmtId="0" fontId="27" fillId="6" borderId="35" xfId="0" applyFont="1" applyFill="1" applyBorder="1" applyAlignment="1">
      <alignment horizontal="center" vertical="center" wrapText="1"/>
    </xf>
    <xf numFmtId="0" fontId="22" fillId="6" borderId="36" xfId="0" applyFont="1" applyFill="1" applyBorder="1" applyAlignment="1">
      <alignment vertical="center" wrapText="1"/>
    </xf>
    <xf numFmtId="14" fontId="22" fillId="6" borderId="36" xfId="0" applyNumberFormat="1" applyFont="1" applyFill="1" applyBorder="1" applyAlignment="1">
      <alignment vertical="center" wrapText="1"/>
    </xf>
    <xf numFmtId="0" fontId="22" fillId="6" borderId="36" xfId="0" applyFont="1" applyFill="1" applyBorder="1" applyAlignment="1">
      <alignment horizontal="right" vertical="center" wrapText="1"/>
    </xf>
    <xf numFmtId="14" fontId="22" fillId="6" borderId="36" xfId="0" applyNumberFormat="1" applyFont="1" applyFill="1" applyBorder="1" applyAlignment="1">
      <alignment horizontal="center" vertical="center" wrapText="1"/>
    </xf>
    <xf numFmtId="14" fontId="22" fillId="6" borderId="36" xfId="0" applyNumberFormat="1" applyFont="1" applyFill="1" applyBorder="1" applyAlignment="1">
      <alignment horizontal="right" vertical="center" wrapText="1"/>
    </xf>
    <xf numFmtId="15" fontId="22" fillId="6" borderId="36" xfId="0" applyNumberFormat="1" applyFont="1" applyFill="1" applyBorder="1" applyAlignment="1">
      <alignment horizontal="center" vertical="center" wrapText="1"/>
    </xf>
    <xf numFmtId="15" fontId="22" fillId="5" borderId="36" xfId="0" applyNumberFormat="1" applyFont="1" applyFill="1" applyBorder="1" applyAlignment="1">
      <alignment horizontal="center" vertical="center" wrapText="1"/>
    </xf>
    <xf numFmtId="0" fontId="26" fillId="5" borderId="35" xfId="0" applyFont="1" applyFill="1" applyBorder="1" applyAlignment="1">
      <alignment horizontal="center" vertical="center" wrapText="1"/>
    </xf>
    <xf numFmtId="0" fontId="26" fillId="5" borderId="36" xfId="0" applyFont="1" applyFill="1" applyBorder="1" applyAlignment="1">
      <alignment vertical="center" wrapText="1"/>
    </xf>
    <xf numFmtId="14" fontId="26" fillId="5" borderId="36" xfId="0" applyNumberFormat="1" applyFont="1" applyFill="1" applyBorder="1" applyAlignment="1">
      <alignment vertical="center" wrapText="1"/>
    </xf>
    <xf numFmtId="0" fontId="26" fillId="5" borderId="36" xfId="0" applyFont="1" applyFill="1" applyBorder="1" applyAlignment="1">
      <alignment horizontal="right" vertical="center" wrapText="1"/>
    </xf>
    <xf numFmtId="0" fontId="26" fillId="5" borderId="36" xfId="0" applyFont="1" applyFill="1" applyBorder="1" applyAlignment="1">
      <alignment horizontal="center" vertical="center" wrapText="1"/>
    </xf>
    <xf numFmtId="14" fontId="26" fillId="5" borderId="36" xfId="0" applyNumberFormat="1" applyFont="1" applyFill="1" applyBorder="1" applyAlignment="1">
      <alignment horizontal="center" vertical="center" wrapText="1"/>
    </xf>
    <xf numFmtId="0" fontId="28" fillId="5" borderId="37" xfId="0" applyFont="1" applyFill="1" applyBorder="1" applyAlignment="1">
      <alignment vertical="center" wrapText="1"/>
    </xf>
    <xf numFmtId="0" fontId="27" fillId="5" borderId="36" xfId="0" applyFont="1" applyFill="1" applyBorder="1" applyAlignment="1">
      <alignment horizontal="center" vertical="center" wrapText="1"/>
    </xf>
    <xf numFmtId="0" fontId="27" fillId="5" borderId="36" xfId="0" applyFont="1" applyFill="1" applyBorder="1" applyAlignment="1">
      <alignment vertical="center" wrapText="1"/>
    </xf>
    <xf numFmtId="14" fontId="27" fillId="6" borderId="36" xfId="0" applyNumberFormat="1" applyFont="1" applyFill="1" applyBorder="1" applyAlignment="1">
      <alignment vertical="center" wrapText="1"/>
    </xf>
    <xf numFmtId="0" fontId="13" fillId="6" borderId="36" xfId="0" applyFont="1" applyFill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29" fillId="5" borderId="36" xfId="0" applyFont="1" applyFill="1" applyBorder="1" applyAlignment="1">
      <alignment vertical="center" wrapText="1"/>
    </xf>
    <xf numFmtId="0" fontId="30" fillId="6" borderId="36" xfId="0" applyFont="1" applyFill="1" applyBorder="1" applyAlignment="1">
      <alignment vertical="center" wrapText="1"/>
    </xf>
    <xf numFmtId="14" fontId="26" fillId="5" borderId="36" xfId="0" applyNumberFormat="1" applyFont="1" applyFill="1" applyBorder="1" applyAlignment="1">
      <alignment horizontal="right" vertical="center" wrapText="1"/>
    </xf>
    <xf numFmtId="0" fontId="30" fillId="5" borderId="36" xfId="0" applyFont="1" applyFill="1" applyBorder="1" applyAlignment="1">
      <alignment vertical="center" wrapText="1"/>
    </xf>
    <xf numFmtId="0" fontId="28" fillId="6" borderId="38" xfId="0" applyFont="1" applyFill="1" applyBorder="1" applyAlignment="1">
      <alignment vertical="center" wrapText="1"/>
    </xf>
    <xf numFmtId="0" fontId="22" fillId="6" borderId="39" xfId="0" applyFont="1" applyFill="1" applyBorder="1" applyAlignment="1">
      <alignment horizontal="center" vertical="center" wrapText="1"/>
    </xf>
    <xf numFmtId="0" fontId="28" fillId="5" borderId="40" xfId="0" applyFont="1" applyFill="1" applyBorder="1" applyAlignment="1">
      <alignment vertical="center" wrapText="1"/>
    </xf>
    <xf numFmtId="0" fontId="22" fillId="5" borderId="41" xfId="0" applyFont="1" applyFill="1" applyBorder="1" applyAlignment="1">
      <alignment horizontal="center" vertical="center" wrapText="1"/>
    </xf>
    <xf numFmtId="0" fontId="27" fillId="5" borderId="36" xfId="0" applyFont="1" applyFill="1" applyBorder="1" applyAlignment="1">
      <alignment horizontal="right" vertical="center" wrapText="1"/>
    </xf>
    <xf numFmtId="0" fontId="27" fillId="6" borderId="37" xfId="0" applyFont="1" applyFill="1" applyBorder="1" applyAlignment="1">
      <alignment vertical="center" wrapText="1"/>
    </xf>
    <xf numFmtId="0" fontId="27" fillId="6" borderId="37" xfId="0" applyFont="1" applyFill="1" applyBorder="1" applyAlignment="1">
      <alignment horizontal="right" vertical="center" wrapText="1"/>
    </xf>
    <xf numFmtId="0" fontId="28" fillId="5" borderId="36" xfId="0" applyFont="1" applyFill="1" applyBorder="1" applyAlignment="1">
      <alignment vertical="center" wrapText="1"/>
    </xf>
    <xf numFmtId="0" fontId="25" fillId="6" borderId="36" xfId="0" applyFont="1" applyFill="1" applyBorder="1" applyAlignment="1">
      <alignment vertical="center" wrapText="1"/>
    </xf>
  </cellXfs>
  <cellStyles count="1">
    <cellStyle name="Normal" xfId="0" builtinId="0"/>
  </cellStyles>
  <dxfs count="17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Employee Master List-style" pivot="0" count="4" xr9:uid="{00000000-0011-0000-FFFF-FFFF00000000}">
      <tableStyleElement type="wholeTable" size="0" dxfId="13"/>
      <tableStyleElement type="headerRow" dxfId="16"/>
      <tableStyleElement type="firstRowStripe" dxfId="15"/>
      <tableStyleElement type="secondRowStripe" dxfId="14"/>
    </tableStyle>
    <tableStyle name="Row_House-style" pivot="0" count="5" xr9:uid="{00000000-0011-0000-FFFF-FFFF01000000}">
      <tableStyleElement type="wholeTable" size="0" dxfId="8"/>
      <tableStyleElement type="headerRow" dxfId="12"/>
      <tableStyleElement type="totalRow" dxfId="9"/>
      <tableStyleElement type="firstRowStripe" dxfId="11"/>
      <tableStyleElement type="secondRowStripe" dxfId="10"/>
    </tableStyle>
    <tableStyle name="payslip extract v1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payslip extract v2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Libin Cherian" id="{83ae52e8-1304-436f-9a04-ac0f0ed72483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_Master_List" displayName="Employee_Master_List" ref="A1:S98">
  <autoFilter ref="A1:S98" xr:uid="{00000000-0009-0000-0100-000001000000}"/>
  <tableColumns count="19">
    <tableColumn id="1" xr3:uid="{00000000-0010-0000-0000-000001000000}" name="SL. NO"/>
    <tableColumn id="2" xr3:uid="{00000000-0010-0000-0000-000002000000}" name="Employee ID"/>
    <tableColumn id="3" xr3:uid="{00000000-0010-0000-0000-000003000000}" name="Employee Name"/>
    <tableColumn id="4" xr3:uid="{00000000-0010-0000-0000-000004000000}" name="National ID"/>
    <tableColumn id="5" xr3:uid="{00000000-0010-0000-0000-000005000000}" name="Designation"/>
    <tableColumn id="6" xr3:uid="{00000000-0010-0000-0000-000006000000}" name="Date of Joining"/>
    <tableColumn id="7" xr3:uid="{00000000-0010-0000-0000-000007000000}" name="Aadhaar ID"/>
    <tableColumn id="8" xr3:uid="{00000000-0010-0000-0000-000008000000}" name="Police Verification ID"/>
    <tableColumn id="9" xr3:uid="{00000000-0010-0000-0000-000009000000}" name="Salary"/>
    <tableColumn id="10" xr3:uid="{00000000-0010-0000-0000-00000A000000}" name="Hourly Rate"/>
    <tableColumn id="11" xr3:uid="{00000000-0010-0000-0000-00000B000000}" name="Phone"/>
    <tableColumn id="12" xr3:uid="{00000000-0010-0000-0000-00000C000000}" name="D.O.B"/>
    <tableColumn id="13" xr3:uid="{00000000-0010-0000-0000-00000D000000}" name="Health Card ID"/>
    <tableColumn id="14" xr3:uid="{00000000-0010-0000-0000-00000E000000}" name="GPay"/>
    <tableColumn id="15" xr3:uid="{00000000-0010-0000-0000-00000F000000}" name="Bank Account"/>
    <tableColumn id="16" xr3:uid="{00000000-0010-0000-0000-000010000000}" name="Date of Resignation"/>
    <tableColumn id="17" xr3:uid="{00000000-0010-0000-0000-000011000000}" name="Site"/>
    <tableColumn id="18" xr3:uid="{00000000-0010-0000-0000-000012000000}" name="Active"/>
    <tableColumn id="19" xr3:uid="{00000000-0010-0000-0000-000013000000}" name="Designation Short"/>
  </tableColumns>
  <tableStyleInfo name="Employee Master Li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w_House_Weekly_Expenses" displayName="Row_House_Weekly_Expenses" ref="A1:G35" totalsRowCount="1">
  <tableColumns count="7">
    <tableColumn id="1" xr3:uid="{00000000-0010-0000-0100-000001000000}" name="SL. NO"/>
    <tableColumn id="2" xr3:uid="{00000000-0010-0000-0100-000002000000}" name="EMP. ID"/>
    <tableColumn id="3" xr3:uid="{00000000-0010-0000-0100-000003000000}" name="EMP. Name"/>
    <tableColumn id="4" xr3:uid="{00000000-0010-0000-0100-000004000000}" name="Designation" totalsRowLabel="Grand Total"/>
    <tableColumn id="5" xr3:uid="{00000000-0010-0000-0100-000005000000}" name="Daily Amount" totalsRowFunction="custom">
      <totalsRowFormula>SUM(E34,F34,G34)</totalsRowFormula>
    </tableColumn>
    <tableColumn id="6" xr3:uid="{00000000-0010-0000-0100-000006000000}" name="Overtime"/>
    <tableColumn id="7" xr3:uid="{00000000-0010-0000-0100-000007000000}" name="Food and Misc. Expenses"/>
  </tableColumns>
  <tableStyleInfo name="Row_Hous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L30">
  <tableColumns count="12">
    <tableColumn id="1" xr3:uid="{00000000-0010-0000-0200-000001000000}" name="Employee ID"/>
    <tableColumn id="2" xr3:uid="{00000000-0010-0000-0200-000002000000}" name="Employee Name"/>
    <tableColumn id="3" xr3:uid="{00000000-0010-0000-0200-000003000000}" name="Health Card ID"/>
    <tableColumn id="4" xr3:uid="{00000000-0010-0000-0200-000004000000}" name="Actual Health"/>
    <tableColumn id="5" xr3:uid="{00000000-0010-0000-0200-000005000000}" name="Adhaar/Driving/ Election ID"/>
    <tableColumn id="6" xr3:uid="{00000000-0010-0000-0200-000006000000}" name="Actual National ID"/>
    <tableColumn id="7" xr3:uid="{00000000-0010-0000-0200-000007000000}" name="Police Verification ID"/>
    <tableColumn id="8" xr3:uid="{00000000-0010-0000-0200-000008000000}" name="Column 12"/>
    <tableColumn id="9" xr3:uid="{00000000-0010-0000-0200-000009000000}" name="DOB"/>
    <tableColumn id="10" xr3:uid="{00000000-0010-0000-0200-00000A000000}" name="Date of Joining"/>
    <tableColumn id="11" xr3:uid="{00000000-0010-0000-0200-00000B000000}" name="Designation"/>
    <tableColumn id="12" xr3:uid="{00000000-0010-0000-0200-00000C000000}" name="Column 1"/>
  </tableColumns>
  <tableStyleInfo name="payslip extract v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yslip_extract" displayName="Payslip_extract" ref="A1:H30">
  <tableColumns count="8">
    <tableColumn id="1" xr3:uid="{00000000-0010-0000-0300-000001000000}" name="Employee ID"/>
    <tableColumn id="2" xr3:uid="{00000000-0010-0000-0300-000002000000}" name="Employee Name"/>
    <tableColumn id="3" xr3:uid="{00000000-0010-0000-0300-000003000000}" name="Health Card ID"/>
    <tableColumn id="4" xr3:uid="{00000000-0010-0000-0300-000004000000}" name="Adhaar/Driving/ Election ID"/>
    <tableColumn id="5" xr3:uid="{00000000-0010-0000-0300-000005000000}" name="Police Verification ID"/>
    <tableColumn id="6" xr3:uid="{00000000-0010-0000-0300-000006000000}" name="DOB"/>
    <tableColumn id="7" xr3:uid="{00000000-0010-0000-0300-000007000000}" name="Date of Joining"/>
    <tableColumn id="8" xr3:uid="{00000000-0010-0000-0300-000008000000}" name="Designation"/>
  </tableColumns>
  <tableStyleInfo name="payslip extract v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4" dT="2026-03-26T05:31:37.00" personId="{83ae52e8-1304-436f-9a04-ac0f0ed72483}" id="{541bfd20-2a59-4e62-acaa-581753c7405d}" done="0">
    <x18tc:text xml:space="preserve">12/03 overtime pay missed</x18tc:text>
  </x18tc:threadedComment>
  <x18tc:threadedComment ref="L15" dT="2026-03-26T05:35:51.00" personId="{83ae52e8-1304-436f-9a04-ac0f0ed72483}" id="{eec6bb51-fc85-4295-86f1-8d88eb746cb8}" done="0">
    <x18tc:text xml:space="preserve">17/03 concrete - no lunch break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997"/>
  <sheetViews>
    <sheetView tabSelected="1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S2" sqref="S2"/>
    </sheetView>
  </sheetViews>
  <sheetFormatPr defaultColWidth="12.5703125" defaultRowHeight="15.75" customHeight="1" x14ac:dyDescent="0.2"/>
  <cols>
    <col min="1" max="1" width="9.7109375" customWidth="1"/>
    <col min="2" max="2" width="30.140625" customWidth="1"/>
    <col min="3" max="3" width="22" customWidth="1"/>
    <col min="4" max="4" width="16.85546875" customWidth="1"/>
    <col min="5" max="5" width="17.5703125" customWidth="1"/>
    <col min="6" max="6" width="20.140625" customWidth="1"/>
    <col min="8" max="8" width="16.140625" customWidth="1"/>
    <col min="9" max="9" width="13.85546875" customWidth="1"/>
    <col min="10" max="10" width="16.28515625" customWidth="1"/>
    <col min="11" max="11" width="24.5703125" customWidth="1"/>
    <col min="13" max="13" width="24.7109375" customWidth="1"/>
    <col min="14" max="14" width="16.42578125" customWidth="1"/>
    <col min="15" max="15" width="23.42578125" customWidth="1"/>
    <col min="16" max="16" width="20.28515625" customWidth="1"/>
    <col min="18" max="18" width="15.85546875" customWidth="1"/>
    <col min="19" max="19" width="16.7109375" customWidth="1"/>
  </cols>
  <sheetData>
    <row r="1" spans="1:19" ht="22.5" customHeight="1" thickBot="1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1</v>
      </c>
      <c r="F1" s="1" t="s">
        <v>96</v>
      </c>
      <c r="G1" s="1" t="s">
        <v>97</v>
      </c>
      <c r="H1" s="1" t="s">
        <v>98</v>
      </c>
      <c r="I1" s="1" t="s">
        <v>2</v>
      </c>
      <c r="J1" s="1" t="s">
        <v>99</v>
      </c>
      <c r="K1" s="1" t="s">
        <v>100</v>
      </c>
      <c r="L1" s="1" t="s">
        <v>101</v>
      </c>
      <c r="M1" s="1" t="s">
        <v>102</v>
      </c>
      <c r="N1" s="2" t="s">
        <v>3</v>
      </c>
      <c r="O1" s="2" t="s">
        <v>103</v>
      </c>
      <c r="P1" s="3" t="s">
        <v>104</v>
      </c>
      <c r="Q1" s="4" t="s">
        <v>105</v>
      </c>
      <c r="R1" s="1" t="s">
        <v>106</v>
      </c>
      <c r="S1" s="4" t="s">
        <v>107</v>
      </c>
    </row>
    <row r="2" spans="1:19" ht="22.5" customHeight="1" thickBot="1" x14ac:dyDescent="0.25">
      <c r="A2" s="157">
        <v>1</v>
      </c>
      <c r="B2" s="158" t="s">
        <v>4</v>
      </c>
      <c r="C2" s="159" t="s">
        <v>5</v>
      </c>
      <c r="D2" s="159" t="s">
        <v>6</v>
      </c>
      <c r="E2" s="159" t="s">
        <v>8</v>
      </c>
      <c r="F2" s="160">
        <v>45849</v>
      </c>
      <c r="G2" s="161"/>
      <c r="H2" s="162">
        <v>38297409204</v>
      </c>
      <c r="I2" s="158">
        <v>1400</v>
      </c>
      <c r="J2" s="163">
        <v>175</v>
      </c>
      <c r="K2" s="158">
        <v>9567031213</v>
      </c>
      <c r="L2" s="158" t="s">
        <v>7</v>
      </c>
      <c r="M2" s="161"/>
      <c r="N2" s="158">
        <v>9567031213</v>
      </c>
      <c r="O2" s="161"/>
      <c r="P2" s="161"/>
      <c r="Q2" s="164" t="s">
        <v>108</v>
      </c>
      <c r="R2" s="165" t="s">
        <v>106</v>
      </c>
      <c r="S2" s="158" t="s">
        <v>366</v>
      </c>
    </row>
    <row r="3" spans="1:19" ht="22.5" customHeight="1" thickBot="1" x14ac:dyDescent="0.25">
      <c r="A3" s="166">
        <v>2</v>
      </c>
      <c r="B3" s="167" t="s">
        <v>12</v>
      </c>
      <c r="C3" s="168" t="s">
        <v>13</v>
      </c>
      <c r="D3" s="168">
        <v>655120385133</v>
      </c>
      <c r="E3" s="168" t="s">
        <v>8</v>
      </c>
      <c r="F3" s="169"/>
      <c r="G3" s="170">
        <v>655120385133</v>
      </c>
      <c r="H3" s="170">
        <v>38293354993</v>
      </c>
      <c r="I3" s="171">
        <v>1400</v>
      </c>
      <c r="J3" s="172">
        <v>175</v>
      </c>
      <c r="K3" s="171">
        <v>8129245725</v>
      </c>
      <c r="L3" s="173">
        <v>35599</v>
      </c>
      <c r="M3" s="169"/>
      <c r="N3" s="169"/>
      <c r="O3" s="169"/>
      <c r="P3" s="169"/>
      <c r="Q3" s="174" t="s">
        <v>108</v>
      </c>
      <c r="R3" s="175" t="s">
        <v>106</v>
      </c>
      <c r="S3" s="167" t="s">
        <v>367</v>
      </c>
    </row>
    <row r="4" spans="1:19" ht="22.5" customHeight="1" thickBot="1" x14ac:dyDescent="0.25">
      <c r="A4" s="176">
        <v>3</v>
      </c>
      <c r="B4" s="177" t="s">
        <v>14</v>
      </c>
      <c r="C4" s="178" t="s">
        <v>15</v>
      </c>
      <c r="D4" s="179"/>
      <c r="E4" s="178" t="s">
        <v>16</v>
      </c>
      <c r="F4" s="180">
        <v>45975</v>
      </c>
      <c r="G4" s="179"/>
      <c r="H4" s="181">
        <v>38292194456</v>
      </c>
      <c r="I4" s="177">
        <v>1200</v>
      </c>
      <c r="J4" s="182">
        <v>150</v>
      </c>
      <c r="K4" s="177">
        <v>9707096286</v>
      </c>
      <c r="L4" s="183">
        <v>33604</v>
      </c>
      <c r="M4" s="177" t="s">
        <v>17</v>
      </c>
      <c r="N4" s="179"/>
      <c r="O4" s="179"/>
      <c r="P4" s="184">
        <v>46053</v>
      </c>
      <c r="Q4" s="185" t="s">
        <v>108</v>
      </c>
      <c r="R4" s="186" t="s">
        <v>106</v>
      </c>
      <c r="S4" s="177" t="s">
        <v>368</v>
      </c>
    </row>
    <row r="5" spans="1:19" ht="22.5" customHeight="1" thickBot="1" x14ac:dyDescent="0.25">
      <c r="A5" s="166">
        <v>4</v>
      </c>
      <c r="B5" s="167" t="s">
        <v>18</v>
      </c>
      <c r="C5" s="187" t="s">
        <v>19</v>
      </c>
      <c r="D5" s="187">
        <v>894342179317</v>
      </c>
      <c r="E5" s="187" t="s">
        <v>16</v>
      </c>
      <c r="F5" s="188">
        <v>45975</v>
      </c>
      <c r="G5" s="189">
        <v>894342179317</v>
      </c>
      <c r="H5" s="189">
        <v>38292681521</v>
      </c>
      <c r="I5" s="190">
        <v>1200</v>
      </c>
      <c r="J5" s="172">
        <v>150</v>
      </c>
      <c r="K5" s="190">
        <v>7638837136</v>
      </c>
      <c r="L5" s="191">
        <v>34369</v>
      </c>
      <c r="M5" s="190" t="s">
        <v>20</v>
      </c>
      <c r="N5" s="169"/>
      <c r="O5" s="169"/>
      <c r="P5" s="192">
        <v>46022</v>
      </c>
      <c r="Q5" s="174" t="s">
        <v>108</v>
      </c>
      <c r="R5" s="193" t="s">
        <v>109</v>
      </c>
      <c r="S5" s="167" t="s">
        <v>369</v>
      </c>
    </row>
    <row r="6" spans="1:19" ht="22.5" customHeight="1" thickBot="1" x14ac:dyDescent="0.25">
      <c r="A6" s="194">
        <v>5</v>
      </c>
      <c r="B6" s="177" t="s">
        <v>22</v>
      </c>
      <c r="C6" s="178" t="s">
        <v>23</v>
      </c>
      <c r="D6" s="178">
        <v>842909467704</v>
      </c>
      <c r="E6" s="178" t="s">
        <v>110</v>
      </c>
      <c r="F6" s="180">
        <v>45975</v>
      </c>
      <c r="G6" s="181">
        <v>842909467704</v>
      </c>
      <c r="H6" s="181">
        <v>38292675202</v>
      </c>
      <c r="I6" s="177">
        <v>1000</v>
      </c>
      <c r="J6" s="182">
        <v>125</v>
      </c>
      <c r="K6" s="177">
        <v>7636870189</v>
      </c>
      <c r="L6" s="183">
        <v>35195</v>
      </c>
      <c r="M6" s="179"/>
      <c r="N6" s="179"/>
      <c r="O6" s="179"/>
      <c r="P6" s="184">
        <v>46053</v>
      </c>
      <c r="Q6" s="185" t="s">
        <v>108</v>
      </c>
      <c r="R6" s="186" t="s">
        <v>106</v>
      </c>
      <c r="S6" s="177" t="s">
        <v>370</v>
      </c>
    </row>
    <row r="7" spans="1:19" ht="22.5" customHeight="1" thickBot="1" x14ac:dyDescent="0.25">
      <c r="A7" s="195">
        <v>6</v>
      </c>
      <c r="B7" s="167" t="s">
        <v>24</v>
      </c>
      <c r="C7" s="196" t="s">
        <v>25</v>
      </c>
      <c r="D7" s="196">
        <v>274373348017</v>
      </c>
      <c r="E7" s="196" t="s">
        <v>111</v>
      </c>
      <c r="F7" s="197">
        <v>45975</v>
      </c>
      <c r="G7" s="198">
        <v>274373348017</v>
      </c>
      <c r="H7" s="198">
        <v>38292655121</v>
      </c>
      <c r="I7" s="167">
        <v>800</v>
      </c>
      <c r="J7" s="172">
        <v>100</v>
      </c>
      <c r="K7" s="169"/>
      <c r="L7" s="199">
        <v>35523</v>
      </c>
      <c r="M7" s="167" t="s">
        <v>27</v>
      </c>
      <c r="N7" s="169"/>
      <c r="O7" s="169"/>
      <c r="P7" s="169"/>
      <c r="Q7" s="174" t="s">
        <v>108</v>
      </c>
      <c r="R7" s="175" t="s">
        <v>106</v>
      </c>
      <c r="S7" s="167" t="s">
        <v>371</v>
      </c>
    </row>
    <row r="8" spans="1:19" ht="22.5" customHeight="1" thickBot="1" x14ac:dyDescent="0.25">
      <c r="A8" s="194">
        <v>7</v>
      </c>
      <c r="B8" s="177" t="s">
        <v>28</v>
      </c>
      <c r="C8" s="178" t="s">
        <v>29</v>
      </c>
      <c r="D8" s="178">
        <v>236018001169</v>
      </c>
      <c r="E8" s="178" t="s">
        <v>111</v>
      </c>
      <c r="F8" s="180">
        <v>45975</v>
      </c>
      <c r="G8" s="181">
        <v>236018001169</v>
      </c>
      <c r="H8" s="181">
        <v>38292625665</v>
      </c>
      <c r="I8" s="177">
        <v>800</v>
      </c>
      <c r="J8" s="182">
        <v>100</v>
      </c>
      <c r="K8" s="177">
        <v>6002182741</v>
      </c>
      <c r="L8" s="183">
        <v>37167</v>
      </c>
      <c r="M8" s="177" t="s">
        <v>30</v>
      </c>
      <c r="N8" s="179"/>
      <c r="O8" s="179"/>
      <c r="P8" s="179"/>
      <c r="Q8" s="185" t="s">
        <v>108</v>
      </c>
      <c r="R8" s="186" t="s">
        <v>106</v>
      </c>
      <c r="S8" s="177" t="s">
        <v>372</v>
      </c>
    </row>
    <row r="9" spans="1:19" ht="22.5" customHeight="1" thickBot="1" x14ac:dyDescent="0.25">
      <c r="A9" s="195">
        <v>8</v>
      </c>
      <c r="B9" s="167" t="s">
        <v>31</v>
      </c>
      <c r="C9" s="196" t="s">
        <v>32</v>
      </c>
      <c r="D9" s="196">
        <v>320878568166</v>
      </c>
      <c r="E9" s="196" t="s">
        <v>16</v>
      </c>
      <c r="F9" s="200">
        <v>45759</v>
      </c>
      <c r="G9" s="198">
        <v>320878568166</v>
      </c>
      <c r="H9" s="198">
        <v>38297405419</v>
      </c>
      <c r="I9" s="167">
        <v>1000</v>
      </c>
      <c r="J9" s="172">
        <v>125</v>
      </c>
      <c r="K9" s="167">
        <v>9365025393</v>
      </c>
      <c r="L9" s="201">
        <v>32878</v>
      </c>
      <c r="M9" s="169"/>
      <c r="N9" s="169"/>
      <c r="O9" s="169"/>
      <c r="P9" s="169"/>
      <c r="Q9" s="174" t="s">
        <v>108</v>
      </c>
      <c r="R9" s="175" t="s">
        <v>106</v>
      </c>
      <c r="S9" s="167" t="s">
        <v>373</v>
      </c>
    </row>
    <row r="10" spans="1:19" ht="22.5" customHeight="1" thickBot="1" x14ac:dyDescent="0.25">
      <c r="A10" s="194">
        <v>9</v>
      </c>
      <c r="B10" s="177" t="s">
        <v>33</v>
      </c>
      <c r="C10" s="178" t="s">
        <v>34</v>
      </c>
      <c r="D10" s="178">
        <v>878880361893</v>
      </c>
      <c r="E10" s="178" t="s">
        <v>16</v>
      </c>
      <c r="F10" s="184">
        <v>45759</v>
      </c>
      <c r="G10" s="181">
        <v>878880361893</v>
      </c>
      <c r="H10" s="181">
        <v>38297403598</v>
      </c>
      <c r="I10" s="177">
        <v>1000</v>
      </c>
      <c r="J10" s="182">
        <v>125</v>
      </c>
      <c r="K10" s="179"/>
      <c r="L10" s="202">
        <v>33239</v>
      </c>
      <c r="M10" s="179"/>
      <c r="N10" s="179"/>
      <c r="O10" s="179"/>
      <c r="P10" s="179"/>
      <c r="Q10" s="185" t="s">
        <v>108</v>
      </c>
      <c r="R10" s="186" t="s">
        <v>106</v>
      </c>
      <c r="S10" s="177" t="s">
        <v>374</v>
      </c>
    </row>
    <row r="11" spans="1:19" ht="22.5" customHeight="1" thickBot="1" x14ac:dyDescent="0.25">
      <c r="A11" s="166">
        <v>10</v>
      </c>
      <c r="B11" s="167" t="s">
        <v>35</v>
      </c>
      <c r="C11" s="187" t="s">
        <v>36</v>
      </c>
      <c r="D11" s="187">
        <v>835621909641</v>
      </c>
      <c r="E11" s="196" t="s">
        <v>111</v>
      </c>
      <c r="F11" s="192">
        <v>45759</v>
      </c>
      <c r="G11" s="189">
        <v>835621909641</v>
      </c>
      <c r="H11" s="189">
        <v>38297401843</v>
      </c>
      <c r="I11" s="190">
        <v>800</v>
      </c>
      <c r="J11" s="172">
        <v>100</v>
      </c>
      <c r="K11" s="190">
        <v>9957204607</v>
      </c>
      <c r="L11" s="191">
        <v>36718</v>
      </c>
      <c r="M11" s="169"/>
      <c r="N11" s="169"/>
      <c r="O11" s="169"/>
      <c r="P11" s="169"/>
      <c r="Q11" s="174" t="s">
        <v>108</v>
      </c>
      <c r="R11" s="193" t="s">
        <v>109</v>
      </c>
      <c r="S11" s="167" t="s">
        <v>375</v>
      </c>
    </row>
    <row r="12" spans="1:19" ht="22.5" customHeight="1" thickBot="1" x14ac:dyDescent="0.25">
      <c r="A12" s="203">
        <v>11</v>
      </c>
      <c r="B12" s="177" t="s">
        <v>37</v>
      </c>
      <c r="C12" s="204" t="s">
        <v>38</v>
      </c>
      <c r="D12" s="204">
        <v>856336148767</v>
      </c>
      <c r="E12" s="178" t="s">
        <v>111</v>
      </c>
      <c r="F12" s="205">
        <v>45975</v>
      </c>
      <c r="G12" s="206">
        <v>856336148767</v>
      </c>
      <c r="H12" s="206">
        <v>38292641958</v>
      </c>
      <c r="I12" s="207">
        <v>800</v>
      </c>
      <c r="J12" s="182">
        <v>100</v>
      </c>
      <c r="K12" s="207">
        <v>9365049652</v>
      </c>
      <c r="L12" s="208">
        <v>35430</v>
      </c>
      <c r="M12" s="207" t="s">
        <v>39</v>
      </c>
      <c r="N12" s="179"/>
      <c r="O12" s="179"/>
      <c r="P12" s="179"/>
      <c r="Q12" s="185" t="s">
        <v>108</v>
      </c>
      <c r="R12" s="209" t="s">
        <v>109</v>
      </c>
      <c r="S12" s="177" t="s">
        <v>376</v>
      </c>
    </row>
    <row r="13" spans="1:19" ht="22.5" customHeight="1" thickBot="1" x14ac:dyDescent="0.25">
      <c r="A13" s="195">
        <v>12</v>
      </c>
      <c r="B13" s="167" t="s">
        <v>40</v>
      </c>
      <c r="C13" s="196" t="s">
        <v>41</v>
      </c>
      <c r="D13" s="196">
        <v>377098645178</v>
      </c>
      <c r="E13" s="196" t="s">
        <v>111</v>
      </c>
      <c r="F13" s="197">
        <v>45975</v>
      </c>
      <c r="G13" s="198">
        <v>377098645178</v>
      </c>
      <c r="H13" s="198">
        <v>38292663200</v>
      </c>
      <c r="I13" s="167">
        <v>880</v>
      </c>
      <c r="J13" s="172">
        <v>110</v>
      </c>
      <c r="K13" s="169"/>
      <c r="L13" s="199">
        <v>35845</v>
      </c>
      <c r="M13" s="167" t="s">
        <v>43</v>
      </c>
      <c r="N13" s="169"/>
      <c r="O13" s="169"/>
      <c r="P13" s="169"/>
      <c r="Q13" s="174" t="s">
        <v>108</v>
      </c>
      <c r="R13" s="175" t="s">
        <v>106</v>
      </c>
      <c r="S13" s="167" t="s">
        <v>377</v>
      </c>
    </row>
    <row r="14" spans="1:19" ht="22.5" customHeight="1" thickBot="1" x14ac:dyDescent="0.25">
      <c r="A14" s="203">
        <v>13</v>
      </c>
      <c r="B14" s="177" t="s">
        <v>44</v>
      </c>
      <c r="C14" s="204" t="s">
        <v>45</v>
      </c>
      <c r="D14" s="204">
        <v>286601882075</v>
      </c>
      <c r="E14" s="204" t="s">
        <v>46</v>
      </c>
      <c r="F14" s="205">
        <v>45975</v>
      </c>
      <c r="G14" s="206">
        <v>286601882075</v>
      </c>
      <c r="H14" s="206">
        <v>38292685138</v>
      </c>
      <c r="I14" s="207">
        <v>1200</v>
      </c>
      <c r="J14" s="182">
        <v>150</v>
      </c>
      <c r="K14" s="207" t="s">
        <v>47</v>
      </c>
      <c r="L14" s="208">
        <v>32143</v>
      </c>
      <c r="M14" s="207" t="s">
        <v>48</v>
      </c>
      <c r="N14" s="179"/>
      <c r="O14" s="179"/>
      <c r="P14" s="179"/>
      <c r="Q14" s="185" t="s">
        <v>108</v>
      </c>
      <c r="R14" s="209" t="s">
        <v>109</v>
      </c>
      <c r="S14" s="177" t="s">
        <v>378</v>
      </c>
    </row>
    <row r="15" spans="1:19" ht="22.5" customHeight="1" thickBot="1" x14ac:dyDescent="0.25">
      <c r="A15" s="166">
        <v>14</v>
      </c>
      <c r="B15" s="167" t="s">
        <v>49</v>
      </c>
      <c r="C15" s="187" t="s">
        <v>50</v>
      </c>
      <c r="D15" s="187">
        <v>502663795738</v>
      </c>
      <c r="E15" s="196" t="s">
        <v>110</v>
      </c>
      <c r="F15" s="192">
        <v>45759</v>
      </c>
      <c r="G15" s="189">
        <v>502663795738</v>
      </c>
      <c r="H15" s="189">
        <v>38297395107</v>
      </c>
      <c r="I15" s="190">
        <v>1000</v>
      </c>
      <c r="J15" s="172">
        <v>125</v>
      </c>
      <c r="K15" s="190">
        <v>9365339050</v>
      </c>
      <c r="L15" s="191">
        <v>34048</v>
      </c>
      <c r="M15" s="169"/>
      <c r="N15" s="169"/>
      <c r="O15" s="169"/>
      <c r="P15" s="169"/>
      <c r="Q15" s="174" t="s">
        <v>108</v>
      </c>
      <c r="R15" s="175" t="s">
        <v>106</v>
      </c>
      <c r="S15" s="167" t="s">
        <v>379</v>
      </c>
    </row>
    <row r="16" spans="1:19" ht="22.5" customHeight="1" thickBot="1" x14ac:dyDescent="0.25">
      <c r="A16" s="194">
        <v>15</v>
      </c>
      <c r="B16" s="210" t="s">
        <v>51</v>
      </c>
      <c r="C16" s="211" t="s">
        <v>52</v>
      </c>
      <c r="D16" s="211">
        <v>757151214532</v>
      </c>
      <c r="E16" s="211" t="s">
        <v>54</v>
      </c>
      <c r="F16" s="179"/>
      <c r="G16" s="206">
        <v>757151214532</v>
      </c>
      <c r="H16" s="206">
        <v>38300058870</v>
      </c>
      <c r="I16" s="207">
        <v>1250</v>
      </c>
      <c r="J16" s="182">
        <v>156.25</v>
      </c>
      <c r="K16" s="207">
        <v>7510377812</v>
      </c>
      <c r="L16" s="210" t="s">
        <v>53</v>
      </c>
      <c r="M16" s="179"/>
      <c r="N16" s="179"/>
      <c r="O16" s="179"/>
      <c r="P16" s="179"/>
      <c r="Q16" s="185" t="s">
        <v>108</v>
      </c>
      <c r="R16" s="186" t="s">
        <v>106</v>
      </c>
      <c r="S16" s="177" t="s">
        <v>380</v>
      </c>
    </row>
    <row r="17" spans="1:19" ht="22.5" customHeight="1" thickBot="1" x14ac:dyDescent="0.25">
      <c r="A17" s="166">
        <v>16</v>
      </c>
      <c r="B17" s="167" t="s">
        <v>55</v>
      </c>
      <c r="C17" s="187" t="s">
        <v>56</v>
      </c>
      <c r="D17" s="187">
        <v>541538764901</v>
      </c>
      <c r="E17" s="187" t="s">
        <v>54</v>
      </c>
      <c r="F17" s="169"/>
      <c r="G17" s="189">
        <v>541538764901</v>
      </c>
      <c r="H17" s="189">
        <v>38300055828</v>
      </c>
      <c r="I17" s="190">
        <v>1250</v>
      </c>
      <c r="J17" s="172">
        <v>156.25</v>
      </c>
      <c r="K17" s="169"/>
      <c r="L17" s="191">
        <v>29233</v>
      </c>
      <c r="M17" s="169"/>
      <c r="N17" s="169"/>
      <c r="O17" s="169"/>
      <c r="P17" s="169"/>
      <c r="Q17" s="174" t="s">
        <v>108</v>
      </c>
      <c r="R17" s="193" t="s">
        <v>109</v>
      </c>
      <c r="S17" s="167" t="s">
        <v>381</v>
      </c>
    </row>
    <row r="18" spans="1:19" ht="22.5" customHeight="1" thickBot="1" x14ac:dyDescent="0.25">
      <c r="A18" s="194">
        <v>17</v>
      </c>
      <c r="B18" s="177" t="s">
        <v>57</v>
      </c>
      <c r="C18" s="178" t="s">
        <v>58</v>
      </c>
      <c r="D18" s="178">
        <v>670509360960</v>
      </c>
      <c r="E18" s="178" t="s">
        <v>111</v>
      </c>
      <c r="F18" s="180">
        <v>46022</v>
      </c>
      <c r="G18" s="181">
        <v>670509360960</v>
      </c>
      <c r="H18" s="181">
        <v>38302479207</v>
      </c>
      <c r="I18" s="177">
        <v>800</v>
      </c>
      <c r="J18" s="182">
        <v>100</v>
      </c>
      <c r="K18" s="179"/>
      <c r="L18" s="183">
        <v>35562</v>
      </c>
      <c r="M18" s="179"/>
      <c r="N18" s="179"/>
      <c r="O18" s="179"/>
      <c r="P18" s="179"/>
      <c r="Q18" s="185" t="s">
        <v>108</v>
      </c>
      <c r="R18" s="186" t="s">
        <v>106</v>
      </c>
      <c r="S18" s="177" t="s">
        <v>382</v>
      </c>
    </row>
    <row r="19" spans="1:19" ht="22.5" customHeight="1" thickBot="1" x14ac:dyDescent="0.25">
      <c r="A19" s="195">
        <v>18</v>
      </c>
      <c r="B19" s="167" t="s">
        <v>59</v>
      </c>
      <c r="C19" s="196" t="s">
        <v>60</v>
      </c>
      <c r="D19" s="196">
        <v>261839731813</v>
      </c>
      <c r="E19" s="196" t="s">
        <v>111</v>
      </c>
      <c r="F19" s="197">
        <v>46022</v>
      </c>
      <c r="G19" s="198">
        <v>261839731813</v>
      </c>
      <c r="H19" s="198">
        <v>38302579768</v>
      </c>
      <c r="I19" s="167">
        <v>1000</v>
      </c>
      <c r="J19" s="172">
        <v>125</v>
      </c>
      <c r="K19" s="169"/>
      <c r="L19" s="199">
        <v>37257</v>
      </c>
      <c r="M19" s="169"/>
      <c r="N19" s="169"/>
      <c r="O19" s="169"/>
      <c r="P19" s="169"/>
      <c r="Q19" s="174" t="s">
        <v>108</v>
      </c>
      <c r="R19" s="175" t="s">
        <v>106</v>
      </c>
      <c r="S19" s="167" t="s">
        <v>383</v>
      </c>
    </row>
    <row r="20" spans="1:19" ht="22.5" customHeight="1" thickBot="1" x14ac:dyDescent="0.25">
      <c r="A20" s="194">
        <v>19</v>
      </c>
      <c r="B20" s="177" t="s">
        <v>61</v>
      </c>
      <c r="C20" s="178" t="s">
        <v>62</v>
      </c>
      <c r="D20" s="178">
        <v>365006485557</v>
      </c>
      <c r="E20" s="178" t="s">
        <v>111</v>
      </c>
      <c r="F20" s="180">
        <v>46022</v>
      </c>
      <c r="G20" s="181">
        <v>365006485557</v>
      </c>
      <c r="H20" s="181">
        <v>38302565809</v>
      </c>
      <c r="I20" s="177">
        <v>1000</v>
      </c>
      <c r="J20" s="182">
        <v>125</v>
      </c>
      <c r="K20" s="177">
        <v>6297353078</v>
      </c>
      <c r="L20" s="183">
        <v>35702</v>
      </c>
      <c r="M20" s="179"/>
      <c r="N20" s="179"/>
      <c r="O20" s="179"/>
      <c r="P20" s="179"/>
      <c r="Q20" s="185" t="s">
        <v>108</v>
      </c>
      <c r="R20" s="186" t="s">
        <v>106</v>
      </c>
      <c r="S20" s="177" t="s">
        <v>384</v>
      </c>
    </row>
    <row r="21" spans="1:19" ht="22.5" customHeight="1" thickBot="1" x14ac:dyDescent="0.25">
      <c r="A21" s="195">
        <v>20</v>
      </c>
      <c r="B21" s="167" t="s">
        <v>64</v>
      </c>
      <c r="C21" s="168" t="s">
        <v>112</v>
      </c>
      <c r="D21" s="168">
        <v>289558347230</v>
      </c>
      <c r="E21" s="196" t="s">
        <v>111</v>
      </c>
      <c r="F21" s="212">
        <v>46022</v>
      </c>
      <c r="G21" s="170">
        <v>289558347230</v>
      </c>
      <c r="H21" s="170">
        <v>38302495416</v>
      </c>
      <c r="I21" s="171">
        <v>800</v>
      </c>
      <c r="J21" s="172">
        <v>100</v>
      </c>
      <c r="K21" s="169"/>
      <c r="L21" s="173">
        <v>32787</v>
      </c>
      <c r="M21" s="169"/>
      <c r="N21" s="169"/>
      <c r="O21" s="169"/>
      <c r="P21" s="169"/>
      <c r="Q21" s="174" t="s">
        <v>108</v>
      </c>
      <c r="R21" s="175" t="s">
        <v>106</v>
      </c>
      <c r="S21" s="167" t="s">
        <v>385</v>
      </c>
    </row>
    <row r="22" spans="1:19" ht="22.5" customHeight="1" thickBot="1" x14ac:dyDescent="0.25">
      <c r="A22" s="203">
        <v>21</v>
      </c>
      <c r="B22" s="177" t="s">
        <v>66</v>
      </c>
      <c r="C22" s="204" t="s">
        <v>67</v>
      </c>
      <c r="D22" s="204">
        <v>781500607872</v>
      </c>
      <c r="E22" s="178" t="s">
        <v>111</v>
      </c>
      <c r="F22" s="205">
        <v>46022</v>
      </c>
      <c r="G22" s="206">
        <v>781500607872</v>
      </c>
      <c r="H22" s="206">
        <v>38302483189</v>
      </c>
      <c r="I22" s="207">
        <v>800</v>
      </c>
      <c r="J22" s="182">
        <v>100</v>
      </c>
      <c r="K22" s="179"/>
      <c r="L22" s="208">
        <v>38353</v>
      </c>
      <c r="M22" s="179"/>
      <c r="N22" s="179"/>
      <c r="O22" s="179"/>
      <c r="P22" s="179"/>
      <c r="Q22" s="185" t="s">
        <v>108</v>
      </c>
      <c r="R22" s="209" t="s">
        <v>109</v>
      </c>
      <c r="S22" s="177" t="s">
        <v>386</v>
      </c>
    </row>
    <row r="23" spans="1:19" ht="22.5" customHeight="1" thickBot="1" x14ac:dyDescent="0.25">
      <c r="A23" s="166">
        <v>22</v>
      </c>
      <c r="B23" s="167" t="s">
        <v>387</v>
      </c>
      <c r="C23" s="187" t="s">
        <v>68</v>
      </c>
      <c r="D23" s="187" t="s">
        <v>69</v>
      </c>
      <c r="E23" s="187" t="s">
        <v>8</v>
      </c>
      <c r="F23" s="200">
        <v>46328</v>
      </c>
      <c r="G23" s="169"/>
      <c r="H23" s="189">
        <v>38310882912</v>
      </c>
      <c r="I23" s="167">
        <v>1000</v>
      </c>
      <c r="J23" s="172">
        <v>125</v>
      </c>
      <c r="K23" s="169"/>
      <c r="L23" s="191">
        <v>34247</v>
      </c>
      <c r="M23" s="169"/>
      <c r="N23" s="169"/>
      <c r="O23" s="169"/>
      <c r="P23" s="169"/>
      <c r="Q23" s="174" t="s">
        <v>108</v>
      </c>
      <c r="R23" s="193" t="s">
        <v>109</v>
      </c>
      <c r="S23" s="167" t="s">
        <v>388</v>
      </c>
    </row>
    <row r="24" spans="1:19" ht="22.5" customHeight="1" thickBot="1" x14ac:dyDescent="0.25">
      <c r="A24" s="194">
        <v>23</v>
      </c>
      <c r="B24" s="177" t="s">
        <v>196</v>
      </c>
      <c r="C24" s="178" t="s">
        <v>71</v>
      </c>
      <c r="D24" s="178">
        <v>218697927575</v>
      </c>
      <c r="E24" s="178" t="s">
        <v>16</v>
      </c>
      <c r="F24" s="180">
        <v>46069</v>
      </c>
      <c r="G24" s="181">
        <v>218697927575</v>
      </c>
      <c r="H24" s="181">
        <v>38312255954</v>
      </c>
      <c r="I24" s="177">
        <v>1000</v>
      </c>
      <c r="J24" s="182">
        <v>125</v>
      </c>
      <c r="K24" s="179"/>
      <c r="L24" s="183">
        <v>33970</v>
      </c>
      <c r="M24" s="179"/>
      <c r="N24" s="179"/>
      <c r="O24" s="179"/>
      <c r="P24" s="179"/>
      <c r="Q24" s="185" t="s">
        <v>108</v>
      </c>
      <c r="R24" s="186" t="s">
        <v>106</v>
      </c>
      <c r="S24" s="177" t="s">
        <v>389</v>
      </c>
    </row>
    <row r="25" spans="1:19" ht="22.5" customHeight="1" thickBot="1" x14ac:dyDescent="0.25">
      <c r="A25" s="195">
        <v>24</v>
      </c>
      <c r="B25" s="167" t="s">
        <v>198</v>
      </c>
      <c r="C25" s="196" t="s">
        <v>74</v>
      </c>
      <c r="D25" s="196">
        <v>979687937545</v>
      </c>
      <c r="E25" s="196" t="s">
        <v>16</v>
      </c>
      <c r="F25" s="197">
        <v>46069</v>
      </c>
      <c r="G25" s="198">
        <v>979687937545</v>
      </c>
      <c r="H25" s="198">
        <v>38312257812</v>
      </c>
      <c r="I25" s="167">
        <v>1000</v>
      </c>
      <c r="J25" s="172">
        <v>125</v>
      </c>
      <c r="K25" s="169"/>
      <c r="L25" s="199">
        <v>33239</v>
      </c>
      <c r="M25" s="169"/>
      <c r="N25" s="169"/>
      <c r="O25" s="169"/>
      <c r="P25" s="169"/>
      <c r="Q25" s="174" t="s">
        <v>108</v>
      </c>
      <c r="R25" s="175" t="s">
        <v>106</v>
      </c>
      <c r="S25" s="167" t="s">
        <v>390</v>
      </c>
    </row>
    <row r="26" spans="1:19" ht="22.5" customHeight="1" thickBot="1" x14ac:dyDescent="0.25">
      <c r="A26" s="194">
        <v>25</v>
      </c>
      <c r="B26" s="177" t="s">
        <v>200</v>
      </c>
      <c r="C26" s="178" t="s">
        <v>86</v>
      </c>
      <c r="D26" s="178">
        <v>467406326102</v>
      </c>
      <c r="E26" s="178" t="s">
        <v>16</v>
      </c>
      <c r="F26" s="180">
        <v>46069</v>
      </c>
      <c r="G26" s="179"/>
      <c r="H26" s="179"/>
      <c r="I26" s="177">
        <v>1000</v>
      </c>
      <c r="J26" s="182">
        <v>125</v>
      </c>
      <c r="K26" s="179"/>
      <c r="L26" s="183">
        <v>35796</v>
      </c>
      <c r="M26" s="179"/>
      <c r="N26" s="179"/>
      <c r="O26" s="179"/>
      <c r="P26" s="179"/>
      <c r="Q26" s="185" t="s">
        <v>108</v>
      </c>
      <c r="R26" s="186" t="s">
        <v>106</v>
      </c>
      <c r="S26" s="177" t="s">
        <v>391</v>
      </c>
    </row>
    <row r="27" spans="1:19" ht="22.5" customHeight="1" thickBot="1" x14ac:dyDescent="0.25">
      <c r="A27" s="195">
        <v>26</v>
      </c>
      <c r="B27" s="167" t="s">
        <v>202</v>
      </c>
      <c r="C27" s="196" t="s">
        <v>76</v>
      </c>
      <c r="D27" s="196">
        <v>649134922789</v>
      </c>
      <c r="E27" s="196" t="s">
        <v>110</v>
      </c>
      <c r="F27" s="197">
        <v>46069</v>
      </c>
      <c r="G27" s="198">
        <v>649134922789</v>
      </c>
      <c r="H27" s="198">
        <v>38312253130</v>
      </c>
      <c r="I27" s="167">
        <v>1000</v>
      </c>
      <c r="J27" s="172">
        <v>125</v>
      </c>
      <c r="K27" s="169"/>
      <c r="L27" s="199">
        <v>34395</v>
      </c>
      <c r="M27" s="169"/>
      <c r="N27" s="169"/>
      <c r="O27" s="169"/>
      <c r="P27" s="169"/>
      <c r="Q27" s="174" t="s">
        <v>108</v>
      </c>
      <c r="R27" s="175" t="s">
        <v>106</v>
      </c>
      <c r="S27" s="167" t="s">
        <v>392</v>
      </c>
    </row>
    <row r="28" spans="1:19" ht="22.5" customHeight="1" thickBot="1" x14ac:dyDescent="0.25">
      <c r="A28" s="194">
        <v>27</v>
      </c>
      <c r="B28" s="177" t="s">
        <v>204</v>
      </c>
      <c r="C28" s="178" t="s">
        <v>79</v>
      </c>
      <c r="D28" s="178">
        <v>733017376481</v>
      </c>
      <c r="E28" s="178" t="s">
        <v>111</v>
      </c>
      <c r="F28" s="180">
        <v>46069</v>
      </c>
      <c r="G28" s="181">
        <v>733017376481</v>
      </c>
      <c r="H28" s="181">
        <v>38312237178</v>
      </c>
      <c r="I28" s="177">
        <v>800</v>
      </c>
      <c r="J28" s="182">
        <v>100</v>
      </c>
      <c r="K28" s="179"/>
      <c r="L28" s="183">
        <v>29221</v>
      </c>
      <c r="M28" s="179"/>
      <c r="N28" s="179"/>
      <c r="O28" s="179"/>
      <c r="P28" s="179"/>
      <c r="Q28" s="185" t="s">
        <v>108</v>
      </c>
      <c r="R28" s="186" t="s">
        <v>106</v>
      </c>
      <c r="S28" s="177" t="s">
        <v>393</v>
      </c>
    </row>
    <row r="29" spans="1:19" ht="22.5" customHeight="1" thickBot="1" x14ac:dyDescent="0.25">
      <c r="A29" s="195">
        <v>28</v>
      </c>
      <c r="B29" s="167" t="s">
        <v>206</v>
      </c>
      <c r="C29" s="196" t="s">
        <v>81</v>
      </c>
      <c r="D29" s="196">
        <v>494158010087</v>
      </c>
      <c r="E29" s="196" t="s">
        <v>16</v>
      </c>
      <c r="F29" s="197">
        <v>46069</v>
      </c>
      <c r="G29" s="198">
        <v>494158010087</v>
      </c>
      <c r="H29" s="198">
        <v>38312246173</v>
      </c>
      <c r="I29" s="167">
        <v>800</v>
      </c>
      <c r="J29" s="172">
        <v>100</v>
      </c>
      <c r="K29" s="169"/>
      <c r="L29" s="199">
        <v>34478</v>
      </c>
      <c r="M29" s="169"/>
      <c r="N29" s="169"/>
      <c r="O29" s="169"/>
      <c r="P29" s="169"/>
      <c r="Q29" s="174" t="s">
        <v>108</v>
      </c>
      <c r="R29" s="175" t="s">
        <v>106</v>
      </c>
      <c r="S29" s="167" t="s">
        <v>394</v>
      </c>
    </row>
    <row r="30" spans="1:19" ht="22.5" customHeight="1" thickBot="1" x14ac:dyDescent="0.25">
      <c r="A30" s="194">
        <v>29</v>
      </c>
      <c r="B30" s="177" t="s">
        <v>80</v>
      </c>
      <c r="C30" s="178" t="s">
        <v>84</v>
      </c>
      <c r="D30" s="178">
        <v>894113334159</v>
      </c>
      <c r="E30" s="178" t="s">
        <v>111</v>
      </c>
      <c r="F30" s="180">
        <v>46069</v>
      </c>
      <c r="G30" s="181">
        <v>894113334159</v>
      </c>
      <c r="H30" s="181">
        <v>38312258111</v>
      </c>
      <c r="I30" s="177">
        <v>800</v>
      </c>
      <c r="J30" s="182">
        <v>100</v>
      </c>
      <c r="K30" s="179"/>
      <c r="L30" s="183">
        <v>38029</v>
      </c>
      <c r="M30" s="179"/>
      <c r="N30" s="179"/>
      <c r="O30" s="179"/>
      <c r="P30" s="179"/>
      <c r="Q30" s="185" t="s">
        <v>108</v>
      </c>
      <c r="R30" s="186" t="s">
        <v>106</v>
      </c>
      <c r="S30" s="177" t="s">
        <v>395</v>
      </c>
    </row>
    <row r="31" spans="1:19" ht="22.5" customHeight="1" thickBot="1" x14ac:dyDescent="0.25">
      <c r="A31" s="195">
        <v>30</v>
      </c>
      <c r="B31" s="167" t="s">
        <v>83</v>
      </c>
      <c r="C31" s="196" t="s">
        <v>88</v>
      </c>
      <c r="D31" s="169"/>
      <c r="E31" s="213" t="s">
        <v>111</v>
      </c>
      <c r="F31" s="169"/>
      <c r="G31" s="198">
        <v>467406326102</v>
      </c>
      <c r="H31" s="198">
        <v>38312259458</v>
      </c>
      <c r="I31" s="169"/>
      <c r="J31" s="172">
        <v>0</v>
      </c>
      <c r="K31" s="169"/>
      <c r="L31" s="169"/>
      <c r="M31" s="169"/>
      <c r="N31" s="169"/>
      <c r="O31" s="169"/>
      <c r="P31" s="169"/>
      <c r="Q31" s="174" t="s">
        <v>108</v>
      </c>
      <c r="R31" s="175" t="s">
        <v>106</v>
      </c>
      <c r="S31" s="167" t="s">
        <v>396</v>
      </c>
    </row>
    <row r="32" spans="1:19" ht="22.5" customHeight="1" thickBot="1" x14ac:dyDescent="0.25">
      <c r="A32" s="194">
        <v>31</v>
      </c>
      <c r="B32" s="177" t="s">
        <v>85</v>
      </c>
      <c r="C32" s="178" t="s">
        <v>91</v>
      </c>
      <c r="D32" s="178">
        <v>933703672766</v>
      </c>
      <c r="E32" s="178" t="s">
        <v>111</v>
      </c>
      <c r="F32" s="180">
        <v>46069</v>
      </c>
      <c r="G32" s="181">
        <v>933703672766</v>
      </c>
      <c r="H32" s="181">
        <v>38312250899</v>
      </c>
      <c r="I32" s="177">
        <v>800</v>
      </c>
      <c r="J32" s="182">
        <v>100</v>
      </c>
      <c r="K32" s="179"/>
      <c r="L32" s="183">
        <v>33377</v>
      </c>
      <c r="M32" s="179"/>
      <c r="N32" s="179"/>
      <c r="O32" s="179"/>
      <c r="P32" s="179"/>
      <c r="Q32" s="185" t="s">
        <v>108</v>
      </c>
      <c r="R32" s="186" t="s">
        <v>106</v>
      </c>
      <c r="S32" s="177" t="s">
        <v>397</v>
      </c>
    </row>
    <row r="33" spans="1:19" ht="22.5" customHeight="1" thickBot="1" x14ac:dyDescent="0.25">
      <c r="A33" s="195">
        <v>32</v>
      </c>
      <c r="B33" s="167" t="s">
        <v>87</v>
      </c>
      <c r="C33" s="196" t="s">
        <v>113</v>
      </c>
      <c r="D33" s="196">
        <v>386187632362</v>
      </c>
      <c r="E33" s="196" t="s">
        <v>111</v>
      </c>
      <c r="F33" s="197">
        <v>46069</v>
      </c>
      <c r="G33" s="198">
        <v>386187632362</v>
      </c>
      <c r="H33" s="198">
        <v>38312247852</v>
      </c>
      <c r="I33" s="167">
        <v>800</v>
      </c>
      <c r="J33" s="172">
        <v>100</v>
      </c>
      <c r="K33" s="169"/>
      <c r="L33" s="199">
        <v>36892</v>
      </c>
      <c r="M33" s="169"/>
      <c r="N33" s="169"/>
      <c r="O33" s="169"/>
      <c r="P33" s="169"/>
      <c r="Q33" s="174" t="s">
        <v>108</v>
      </c>
      <c r="R33" s="175" t="s">
        <v>106</v>
      </c>
      <c r="S33" s="167" t="s">
        <v>398</v>
      </c>
    </row>
    <row r="34" spans="1:19" ht="22.5" customHeight="1" thickBot="1" x14ac:dyDescent="0.25">
      <c r="A34" s="194">
        <v>33</v>
      </c>
      <c r="B34" s="177" t="s">
        <v>90</v>
      </c>
      <c r="C34" s="178" t="s">
        <v>114</v>
      </c>
      <c r="D34" s="179"/>
      <c r="E34" s="178" t="s">
        <v>111</v>
      </c>
      <c r="F34" s="179"/>
      <c r="G34" s="179"/>
      <c r="H34" s="179"/>
      <c r="I34" s="177">
        <v>800</v>
      </c>
      <c r="J34" s="182">
        <v>100</v>
      </c>
      <c r="K34" s="179"/>
      <c r="L34" s="179"/>
      <c r="M34" s="179"/>
      <c r="N34" s="179"/>
      <c r="O34" s="179"/>
      <c r="P34" s="179"/>
      <c r="Q34" s="185" t="s">
        <v>108</v>
      </c>
      <c r="R34" s="186" t="s">
        <v>106</v>
      </c>
      <c r="S34" s="177" t="s">
        <v>399</v>
      </c>
    </row>
    <row r="35" spans="1:19" ht="22.5" customHeight="1" thickBot="1" x14ac:dyDescent="0.25">
      <c r="A35" s="195">
        <v>34</v>
      </c>
      <c r="B35" s="167" t="s">
        <v>213</v>
      </c>
      <c r="C35" s="196" t="s">
        <v>115</v>
      </c>
      <c r="D35" s="169"/>
      <c r="E35" s="196" t="s">
        <v>111</v>
      </c>
      <c r="F35" s="169"/>
      <c r="G35" s="169"/>
      <c r="H35" s="169"/>
      <c r="I35" s="167">
        <v>800</v>
      </c>
      <c r="J35" s="172">
        <v>100</v>
      </c>
      <c r="K35" s="169"/>
      <c r="L35" s="169"/>
      <c r="M35" s="169"/>
      <c r="N35" s="169"/>
      <c r="O35" s="169"/>
      <c r="P35" s="169"/>
      <c r="Q35" s="174" t="s">
        <v>108</v>
      </c>
      <c r="R35" s="175" t="s">
        <v>106</v>
      </c>
      <c r="S35" s="167" t="s">
        <v>400</v>
      </c>
    </row>
    <row r="36" spans="1:19" ht="22.5" customHeight="1" thickBot="1" x14ac:dyDescent="0.25">
      <c r="A36" s="194">
        <v>35</v>
      </c>
      <c r="B36" s="177" t="s">
        <v>215</v>
      </c>
      <c r="C36" s="178" t="s">
        <v>116</v>
      </c>
      <c r="D36" s="179"/>
      <c r="E36" s="178" t="s">
        <v>111</v>
      </c>
      <c r="F36" s="179"/>
      <c r="G36" s="179"/>
      <c r="H36" s="179"/>
      <c r="I36" s="177">
        <v>880</v>
      </c>
      <c r="J36" s="182">
        <v>110</v>
      </c>
      <c r="K36" s="179"/>
      <c r="L36" s="179"/>
      <c r="M36" s="179"/>
      <c r="N36" s="179"/>
      <c r="O36" s="179"/>
      <c r="P36" s="179"/>
      <c r="Q36" s="185" t="s">
        <v>108</v>
      </c>
      <c r="R36" s="186" t="s">
        <v>106</v>
      </c>
      <c r="S36" s="177" t="s">
        <v>401</v>
      </c>
    </row>
    <row r="37" spans="1:19" ht="22.5" customHeight="1" thickBot="1" x14ac:dyDescent="0.25">
      <c r="A37" s="195">
        <v>36</v>
      </c>
      <c r="B37" s="167" t="s">
        <v>217</v>
      </c>
      <c r="C37" s="196" t="s">
        <v>117</v>
      </c>
      <c r="D37" s="169"/>
      <c r="E37" s="196" t="s">
        <v>111</v>
      </c>
      <c r="F37" s="169"/>
      <c r="G37" s="169"/>
      <c r="H37" s="169"/>
      <c r="I37" s="167">
        <v>800</v>
      </c>
      <c r="J37" s="172">
        <v>100</v>
      </c>
      <c r="K37" s="169"/>
      <c r="L37" s="169"/>
      <c r="M37" s="169"/>
      <c r="N37" s="169"/>
      <c r="O37" s="169"/>
      <c r="P37" s="169"/>
      <c r="Q37" s="174" t="s">
        <v>108</v>
      </c>
      <c r="R37" s="175" t="s">
        <v>106</v>
      </c>
      <c r="S37" s="167" t="s">
        <v>402</v>
      </c>
    </row>
    <row r="38" spans="1:19" ht="22.5" customHeight="1" thickBot="1" x14ac:dyDescent="0.25">
      <c r="A38" s="194">
        <v>37</v>
      </c>
      <c r="B38" s="177" t="s">
        <v>219</v>
      </c>
      <c r="C38" s="178" t="s">
        <v>118</v>
      </c>
      <c r="D38" s="179"/>
      <c r="E38" s="178" t="s">
        <v>16</v>
      </c>
      <c r="F38" s="179"/>
      <c r="G38" s="179"/>
      <c r="H38" s="179"/>
      <c r="I38" s="179"/>
      <c r="J38" s="182">
        <v>0</v>
      </c>
      <c r="K38" s="179"/>
      <c r="L38" s="179"/>
      <c r="M38" s="179"/>
      <c r="N38" s="179"/>
      <c r="O38" s="179"/>
      <c r="P38" s="179"/>
      <c r="Q38" s="185" t="s">
        <v>108</v>
      </c>
      <c r="R38" s="186" t="s">
        <v>106</v>
      </c>
      <c r="S38" s="177" t="s">
        <v>403</v>
      </c>
    </row>
    <row r="39" spans="1:19" ht="22.5" customHeight="1" thickBot="1" x14ac:dyDescent="0.25">
      <c r="A39" s="195">
        <v>38</v>
      </c>
      <c r="B39" s="167" t="s">
        <v>242</v>
      </c>
      <c r="C39" s="196" t="s">
        <v>119</v>
      </c>
      <c r="D39" s="169"/>
      <c r="E39" s="196" t="s">
        <v>110</v>
      </c>
      <c r="F39" s="169"/>
      <c r="G39" s="169"/>
      <c r="H39" s="198">
        <v>38316102453</v>
      </c>
      <c r="I39" s="169"/>
      <c r="J39" s="172">
        <v>0</v>
      </c>
      <c r="K39" s="169"/>
      <c r="L39" s="169"/>
      <c r="M39" s="169"/>
      <c r="N39" s="169"/>
      <c r="O39" s="169"/>
      <c r="P39" s="169"/>
      <c r="Q39" s="214" t="s">
        <v>120</v>
      </c>
      <c r="R39" s="175" t="s">
        <v>106</v>
      </c>
      <c r="S39" s="167" t="s">
        <v>404</v>
      </c>
    </row>
    <row r="40" spans="1:19" ht="22.5" customHeight="1" thickBot="1" x14ac:dyDescent="0.25">
      <c r="A40" s="194">
        <v>39</v>
      </c>
      <c r="B40" s="177" t="s">
        <v>244</v>
      </c>
      <c r="C40" s="178" t="s">
        <v>121</v>
      </c>
      <c r="D40" s="179"/>
      <c r="E40" s="178" t="s">
        <v>110</v>
      </c>
      <c r="F40" s="179"/>
      <c r="G40" s="179"/>
      <c r="H40" s="181">
        <v>38316109692</v>
      </c>
      <c r="I40" s="179"/>
      <c r="J40" s="182">
        <v>0</v>
      </c>
      <c r="K40" s="179"/>
      <c r="L40" s="179"/>
      <c r="M40" s="179"/>
      <c r="N40" s="179"/>
      <c r="O40" s="179"/>
      <c r="P40" s="179"/>
      <c r="Q40" s="215" t="s">
        <v>120</v>
      </c>
      <c r="R40" s="186" t="s">
        <v>106</v>
      </c>
      <c r="S40" s="177" t="s">
        <v>405</v>
      </c>
    </row>
    <row r="41" spans="1:19" ht="22.5" customHeight="1" thickBot="1" x14ac:dyDescent="0.25">
      <c r="A41" s="195">
        <v>40</v>
      </c>
      <c r="B41" s="171" t="s">
        <v>246</v>
      </c>
      <c r="C41" s="168" t="s">
        <v>122</v>
      </c>
      <c r="D41" s="169"/>
      <c r="E41" s="168" t="s">
        <v>111</v>
      </c>
      <c r="F41" s="169"/>
      <c r="G41" s="169"/>
      <c r="H41" s="198">
        <v>3831610696</v>
      </c>
      <c r="I41" s="169"/>
      <c r="J41" s="172">
        <v>0</v>
      </c>
      <c r="K41" s="169"/>
      <c r="L41" s="169"/>
      <c r="M41" s="169"/>
      <c r="N41" s="169"/>
      <c r="O41" s="169"/>
      <c r="P41" s="169"/>
      <c r="Q41" s="214" t="s">
        <v>120</v>
      </c>
      <c r="R41" s="175" t="s">
        <v>106</v>
      </c>
      <c r="S41" s="167" t="s">
        <v>406</v>
      </c>
    </row>
    <row r="42" spans="1:19" ht="22.5" customHeight="1" thickBot="1" x14ac:dyDescent="0.25">
      <c r="A42" s="194">
        <v>41</v>
      </c>
      <c r="B42" s="177" t="s">
        <v>221</v>
      </c>
      <c r="C42" s="178" t="s">
        <v>123</v>
      </c>
      <c r="D42" s="178">
        <v>762434195170</v>
      </c>
      <c r="E42" s="178" t="s">
        <v>8</v>
      </c>
      <c r="F42" s="179"/>
      <c r="G42" s="179"/>
      <c r="H42" s="179"/>
      <c r="I42" s="177">
        <v>1200</v>
      </c>
      <c r="J42" s="182">
        <v>150</v>
      </c>
      <c r="K42" s="179"/>
      <c r="L42" s="183">
        <v>36938</v>
      </c>
      <c r="M42" s="179"/>
      <c r="N42" s="179"/>
      <c r="O42" s="179"/>
      <c r="P42" s="179"/>
      <c r="Q42" s="179"/>
      <c r="R42" s="186" t="s">
        <v>106</v>
      </c>
      <c r="S42" s="177" t="s">
        <v>407</v>
      </c>
    </row>
    <row r="43" spans="1:19" ht="22.5" customHeight="1" thickBot="1" x14ac:dyDescent="0.25">
      <c r="A43" s="166">
        <v>42</v>
      </c>
      <c r="B43" s="190" t="s">
        <v>312</v>
      </c>
      <c r="C43" s="187" t="s">
        <v>124</v>
      </c>
      <c r="D43" s="169"/>
      <c r="E43" s="187" t="s">
        <v>110</v>
      </c>
      <c r="F43" s="169"/>
      <c r="G43" s="169"/>
      <c r="H43" s="169"/>
      <c r="I43" s="167">
        <v>1200</v>
      </c>
      <c r="J43" s="172">
        <v>150</v>
      </c>
      <c r="K43" s="169"/>
      <c r="L43" s="169"/>
      <c r="M43" s="169"/>
      <c r="N43" s="169"/>
      <c r="O43" s="169"/>
      <c r="P43" s="192">
        <v>46100</v>
      </c>
      <c r="Q43" s="216" t="s">
        <v>108</v>
      </c>
      <c r="R43" s="193" t="s">
        <v>109</v>
      </c>
      <c r="S43" s="167" t="s">
        <v>408</v>
      </c>
    </row>
    <row r="44" spans="1:19" ht="22.5" customHeight="1" thickBot="1" x14ac:dyDescent="0.25">
      <c r="A44" s="203">
        <v>43</v>
      </c>
      <c r="B44" s="207" t="s">
        <v>313</v>
      </c>
      <c r="C44" s="204" t="s">
        <v>125</v>
      </c>
      <c r="D44" s="179"/>
      <c r="E44" s="204" t="s">
        <v>111</v>
      </c>
      <c r="F44" s="179"/>
      <c r="G44" s="179"/>
      <c r="H44" s="179"/>
      <c r="I44" s="177">
        <v>1000</v>
      </c>
      <c r="J44" s="182">
        <v>125</v>
      </c>
      <c r="K44" s="179"/>
      <c r="L44" s="179"/>
      <c r="M44" s="179"/>
      <c r="N44" s="179"/>
      <c r="O44" s="179"/>
      <c r="P44" s="217">
        <v>46100</v>
      </c>
      <c r="Q44" s="218" t="s">
        <v>108</v>
      </c>
      <c r="R44" s="209" t="s">
        <v>109</v>
      </c>
      <c r="S44" s="177" t="s">
        <v>409</v>
      </c>
    </row>
    <row r="45" spans="1:19" ht="22.5" customHeight="1" thickBot="1" x14ac:dyDescent="0.25">
      <c r="A45" s="166">
        <v>44</v>
      </c>
      <c r="B45" s="190" t="s">
        <v>314</v>
      </c>
      <c r="C45" s="187" t="s">
        <v>126</v>
      </c>
      <c r="D45" s="169"/>
      <c r="E45" s="187" t="s">
        <v>110</v>
      </c>
      <c r="F45" s="169"/>
      <c r="G45" s="169"/>
      <c r="H45" s="169"/>
      <c r="I45" s="167">
        <v>1200</v>
      </c>
      <c r="J45" s="172">
        <v>150</v>
      </c>
      <c r="K45" s="169"/>
      <c r="L45" s="169"/>
      <c r="M45" s="169"/>
      <c r="N45" s="169"/>
      <c r="O45" s="169"/>
      <c r="P45" s="192">
        <v>46100</v>
      </c>
      <c r="Q45" s="216" t="s">
        <v>108</v>
      </c>
      <c r="R45" s="193" t="s">
        <v>109</v>
      </c>
      <c r="S45" s="167" t="s">
        <v>410</v>
      </c>
    </row>
    <row r="46" spans="1:19" ht="22.5" customHeight="1" thickBot="1" x14ac:dyDescent="0.25">
      <c r="A46" s="203">
        <v>45</v>
      </c>
      <c r="B46" s="207" t="s">
        <v>315</v>
      </c>
      <c r="C46" s="204" t="s">
        <v>127</v>
      </c>
      <c r="D46" s="179"/>
      <c r="E46" s="204" t="s">
        <v>110</v>
      </c>
      <c r="F46" s="179"/>
      <c r="G46" s="179"/>
      <c r="H46" s="179"/>
      <c r="I46" s="177">
        <v>1200</v>
      </c>
      <c r="J46" s="182">
        <v>150</v>
      </c>
      <c r="K46" s="179"/>
      <c r="L46" s="179"/>
      <c r="M46" s="179"/>
      <c r="N46" s="179"/>
      <c r="O46" s="179"/>
      <c r="P46" s="217">
        <v>46100</v>
      </c>
      <c r="Q46" s="218" t="s">
        <v>108</v>
      </c>
      <c r="R46" s="209" t="s">
        <v>109</v>
      </c>
      <c r="S46" s="177" t="s">
        <v>411</v>
      </c>
    </row>
    <row r="47" spans="1:19" ht="22.5" customHeight="1" thickBot="1" x14ac:dyDescent="0.25">
      <c r="A47" s="166">
        <v>46</v>
      </c>
      <c r="B47" s="190" t="s">
        <v>316</v>
      </c>
      <c r="C47" s="187" t="s">
        <v>128</v>
      </c>
      <c r="D47" s="169"/>
      <c r="E47" s="187" t="s">
        <v>16</v>
      </c>
      <c r="F47" s="169"/>
      <c r="G47" s="169"/>
      <c r="H47" s="169"/>
      <c r="I47" s="167">
        <v>1200</v>
      </c>
      <c r="J47" s="172">
        <v>150</v>
      </c>
      <c r="K47" s="169"/>
      <c r="L47" s="169"/>
      <c r="M47" s="169"/>
      <c r="N47" s="169"/>
      <c r="O47" s="169"/>
      <c r="P47" s="192">
        <v>46100</v>
      </c>
      <c r="Q47" s="216" t="s">
        <v>108</v>
      </c>
      <c r="R47" s="193" t="s">
        <v>109</v>
      </c>
      <c r="S47" s="167" t="s">
        <v>412</v>
      </c>
    </row>
    <row r="48" spans="1:19" ht="22.5" customHeight="1" thickBot="1" x14ac:dyDescent="0.25">
      <c r="A48" s="203">
        <v>47</v>
      </c>
      <c r="B48" s="207" t="s">
        <v>317</v>
      </c>
      <c r="C48" s="204" t="s">
        <v>129</v>
      </c>
      <c r="D48" s="179"/>
      <c r="E48" s="204" t="s">
        <v>110</v>
      </c>
      <c r="F48" s="179"/>
      <c r="G48" s="179"/>
      <c r="H48" s="179"/>
      <c r="I48" s="177">
        <v>1200</v>
      </c>
      <c r="J48" s="182">
        <v>150</v>
      </c>
      <c r="K48" s="179"/>
      <c r="L48" s="179"/>
      <c r="M48" s="179"/>
      <c r="N48" s="179"/>
      <c r="O48" s="179"/>
      <c r="P48" s="217">
        <v>46100</v>
      </c>
      <c r="Q48" s="218" t="s">
        <v>108</v>
      </c>
      <c r="R48" s="209" t="s">
        <v>109</v>
      </c>
      <c r="S48" s="177" t="s">
        <v>413</v>
      </c>
    </row>
    <row r="49" spans="1:19" ht="22.5" customHeight="1" thickBot="1" x14ac:dyDescent="0.25">
      <c r="A49" s="166">
        <v>48</v>
      </c>
      <c r="B49" s="190" t="s">
        <v>318</v>
      </c>
      <c r="C49" s="187" t="s">
        <v>130</v>
      </c>
      <c r="D49" s="169"/>
      <c r="E49" s="187" t="s">
        <v>110</v>
      </c>
      <c r="F49" s="169"/>
      <c r="G49" s="169"/>
      <c r="H49" s="169"/>
      <c r="I49" s="167">
        <v>1200</v>
      </c>
      <c r="J49" s="172">
        <v>150</v>
      </c>
      <c r="K49" s="169"/>
      <c r="L49" s="169"/>
      <c r="M49" s="169"/>
      <c r="N49" s="169"/>
      <c r="O49" s="169"/>
      <c r="P49" s="192">
        <v>46100</v>
      </c>
      <c r="Q49" s="216" t="s">
        <v>108</v>
      </c>
      <c r="R49" s="193" t="s">
        <v>109</v>
      </c>
      <c r="S49" s="167" t="s">
        <v>414</v>
      </c>
    </row>
    <row r="50" spans="1:19" ht="22.5" customHeight="1" thickBot="1" x14ac:dyDescent="0.25">
      <c r="A50" s="203">
        <v>49</v>
      </c>
      <c r="B50" s="207" t="s">
        <v>319</v>
      </c>
      <c r="C50" s="204" t="s">
        <v>131</v>
      </c>
      <c r="D50" s="179"/>
      <c r="E50" s="204" t="s">
        <v>110</v>
      </c>
      <c r="F50" s="179"/>
      <c r="G50" s="179"/>
      <c r="H50" s="179"/>
      <c r="I50" s="177">
        <v>1200</v>
      </c>
      <c r="J50" s="182">
        <v>150</v>
      </c>
      <c r="K50" s="179"/>
      <c r="L50" s="179"/>
      <c r="M50" s="179"/>
      <c r="N50" s="179"/>
      <c r="O50" s="179"/>
      <c r="P50" s="217">
        <v>46100</v>
      </c>
      <c r="Q50" s="218" t="s">
        <v>108</v>
      </c>
      <c r="R50" s="209" t="s">
        <v>109</v>
      </c>
      <c r="S50" s="177" t="s">
        <v>415</v>
      </c>
    </row>
    <row r="51" spans="1:19" ht="22.5" customHeight="1" thickBot="1" x14ac:dyDescent="0.25">
      <c r="A51" s="195">
        <v>50</v>
      </c>
      <c r="B51" s="171" t="s">
        <v>222</v>
      </c>
      <c r="C51" s="168" t="s">
        <v>132</v>
      </c>
      <c r="D51" s="169"/>
      <c r="E51" s="168" t="s">
        <v>16</v>
      </c>
      <c r="F51" s="169"/>
      <c r="G51" s="169"/>
      <c r="H51" s="169"/>
      <c r="I51" s="167">
        <v>1200</v>
      </c>
      <c r="J51" s="172">
        <v>150</v>
      </c>
      <c r="K51" s="169"/>
      <c r="L51" s="169"/>
      <c r="M51" s="169"/>
      <c r="N51" s="169"/>
      <c r="O51" s="169"/>
      <c r="P51" s="169"/>
      <c r="Q51" s="216" t="s">
        <v>108</v>
      </c>
      <c r="R51" s="193" t="s">
        <v>109</v>
      </c>
      <c r="S51" s="167" t="s">
        <v>416</v>
      </c>
    </row>
    <row r="52" spans="1:19" ht="22.5" customHeight="1" thickBot="1" x14ac:dyDescent="0.25">
      <c r="A52" s="203">
        <v>51</v>
      </c>
      <c r="B52" s="207" t="s">
        <v>321</v>
      </c>
      <c r="C52" s="204" t="s">
        <v>133</v>
      </c>
      <c r="D52" s="179"/>
      <c r="E52" s="204" t="s">
        <v>111</v>
      </c>
      <c r="F52" s="179"/>
      <c r="G52" s="179"/>
      <c r="H52" s="179"/>
      <c r="I52" s="177">
        <v>1000</v>
      </c>
      <c r="J52" s="182">
        <v>125</v>
      </c>
      <c r="K52" s="179"/>
      <c r="L52" s="179"/>
      <c r="M52" s="179"/>
      <c r="N52" s="179"/>
      <c r="O52" s="179"/>
      <c r="P52" s="217">
        <v>46100</v>
      </c>
      <c r="Q52" s="218" t="s">
        <v>108</v>
      </c>
      <c r="R52" s="209" t="s">
        <v>109</v>
      </c>
      <c r="S52" s="177" t="s">
        <v>417</v>
      </c>
    </row>
    <row r="53" spans="1:19" ht="22.5" customHeight="1" thickBot="1" x14ac:dyDescent="0.25">
      <c r="A53" s="166">
        <v>52</v>
      </c>
      <c r="B53" s="190" t="s">
        <v>322</v>
      </c>
      <c r="C53" s="187" t="s">
        <v>134</v>
      </c>
      <c r="D53" s="169"/>
      <c r="E53" s="187" t="s">
        <v>110</v>
      </c>
      <c r="F53" s="169"/>
      <c r="G53" s="169"/>
      <c r="H53" s="169"/>
      <c r="I53" s="167">
        <v>1200</v>
      </c>
      <c r="J53" s="172">
        <v>150</v>
      </c>
      <c r="K53" s="169"/>
      <c r="L53" s="169"/>
      <c r="M53" s="169"/>
      <c r="N53" s="169"/>
      <c r="O53" s="169"/>
      <c r="P53" s="192">
        <v>46100</v>
      </c>
      <c r="Q53" s="216" t="s">
        <v>108</v>
      </c>
      <c r="R53" s="193" t="s">
        <v>109</v>
      </c>
      <c r="S53" s="167" t="s">
        <v>418</v>
      </c>
    </row>
    <row r="54" spans="1:19" ht="22.5" customHeight="1" thickBot="1" x14ac:dyDescent="0.25">
      <c r="A54" s="194">
        <v>53</v>
      </c>
      <c r="B54" s="210" t="s">
        <v>248</v>
      </c>
      <c r="C54" s="178" t="s">
        <v>135</v>
      </c>
      <c r="D54" s="179"/>
      <c r="E54" s="178" t="s">
        <v>110</v>
      </c>
      <c r="F54" s="179"/>
      <c r="G54" s="179"/>
      <c r="H54" s="181">
        <v>38318626899</v>
      </c>
      <c r="I54" s="182">
        <v>1000</v>
      </c>
      <c r="J54" s="182">
        <v>125</v>
      </c>
      <c r="K54" s="179"/>
      <c r="L54" s="179"/>
      <c r="M54" s="179"/>
      <c r="N54" s="179"/>
      <c r="O54" s="179"/>
      <c r="P54" s="179"/>
      <c r="Q54" s="215" t="s">
        <v>120</v>
      </c>
      <c r="R54" s="186" t="s">
        <v>106</v>
      </c>
      <c r="S54" s="177" t="s">
        <v>419</v>
      </c>
    </row>
    <row r="55" spans="1:19" ht="22.5" customHeight="1" thickBot="1" x14ac:dyDescent="0.25">
      <c r="A55" s="195">
        <v>54</v>
      </c>
      <c r="B55" s="171" t="s">
        <v>249</v>
      </c>
      <c r="C55" s="196" t="s">
        <v>136</v>
      </c>
      <c r="D55" s="169"/>
      <c r="E55" s="196" t="s">
        <v>111</v>
      </c>
      <c r="F55" s="169"/>
      <c r="G55" s="169"/>
      <c r="H55" s="198">
        <v>3831862478</v>
      </c>
      <c r="I55" s="172">
        <v>800</v>
      </c>
      <c r="J55" s="172">
        <v>100</v>
      </c>
      <c r="K55" s="169"/>
      <c r="L55" s="169"/>
      <c r="M55" s="169"/>
      <c r="N55" s="169"/>
      <c r="O55" s="169"/>
      <c r="P55" s="169"/>
      <c r="Q55" s="214" t="s">
        <v>120</v>
      </c>
      <c r="R55" s="175" t="s">
        <v>106</v>
      </c>
      <c r="S55" s="167" t="s">
        <v>420</v>
      </c>
    </row>
    <row r="56" spans="1:19" ht="22.5" customHeight="1" thickBot="1" x14ac:dyDescent="0.25">
      <c r="A56" s="194">
        <v>55</v>
      </c>
      <c r="B56" s="210" t="s">
        <v>250</v>
      </c>
      <c r="C56" s="178" t="s">
        <v>137</v>
      </c>
      <c r="D56" s="179"/>
      <c r="E56" s="178" t="s">
        <v>111</v>
      </c>
      <c r="F56" s="179"/>
      <c r="G56" s="179"/>
      <c r="H56" s="181">
        <v>38318619577</v>
      </c>
      <c r="I56" s="182">
        <v>800</v>
      </c>
      <c r="J56" s="182">
        <v>100</v>
      </c>
      <c r="K56" s="179"/>
      <c r="L56" s="179"/>
      <c r="M56" s="179"/>
      <c r="N56" s="179"/>
      <c r="O56" s="179"/>
      <c r="P56" s="179"/>
      <c r="Q56" s="215" t="s">
        <v>120</v>
      </c>
      <c r="R56" s="209" t="s">
        <v>109</v>
      </c>
      <c r="S56" s="177" t="s">
        <v>421</v>
      </c>
    </row>
    <row r="57" spans="1:19" ht="22.5" customHeight="1" thickBot="1" x14ac:dyDescent="0.25">
      <c r="A57" s="195">
        <v>56</v>
      </c>
      <c r="B57" s="171" t="s">
        <v>236</v>
      </c>
      <c r="C57" s="196" t="s">
        <v>138</v>
      </c>
      <c r="D57" s="196" t="s">
        <v>139</v>
      </c>
      <c r="E57" s="196" t="s">
        <v>54</v>
      </c>
      <c r="F57" s="197">
        <v>46107</v>
      </c>
      <c r="G57" s="196" t="s">
        <v>139</v>
      </c>
      <c r="H57" s="198">
        <v>38319806376</v>
      </c>
      <c r="I57" s="172">
        <v>1200</v>
      </c>
      <c r="J57" s="172">
        <v>150</v>
      </c>
      <c r="K57" s="169"/>
      <c r="L57" s="199">
        <v>26420</v>
      </c>
      <c r="M57" s="169"/>
      <c r="N57" s="169"/>
      <c r="O57" s="169"/>
      <c r="P57" s="169"/>
      <c r="Q57" s="214" t="s">
        <v>120</v>
      </c>
      <c r="R57" s="193" t="s">
        <v>109</v>
      </c>
      <c r="S57" s="167" t="s">
        <v>422</v>
      </c>
    </row>
    <row r="58" spans="1:19" ht="22.5" customHeight="1" thickBot="1" x14ac:dyDescent="0.25">
      <c r="A58" s="194">
        <v>57</v>
      </c>
      <c r="B58" s="210" t="s">
        <v>237</v>
      </c>
      <c r="C58" s="178" t="s">
        <v>140</v>
      </c>
      <c r="D58" s="178" t="s">
        <v>141</v>
      </c>
      <c r="E58" s="178" t="s">
        <v>54</v>
      </c>
      <c r="F58" s="180">
        <v>46107</v>
      </c>
      <c r="G58" s="178" t="s">
        <v>141</v>
      </c>
      <c r="H58" s="181">
        <v>38319475913</v>
      </c>
      <c r="I58" s="182">
        <v>1200</v>
      </c>
      <c r="J58" s="182">
        <v>150</v>
      </c>
      <c r="K58" s="179"/>
      <c r="L58" s="183">
        <v>29733</v>
      </c>
      <c r="M58" s="179"/>
      <c r="N58" s="179"/>
      <c r="O58" s="179"/>
      <c r="P58" s="179"/>
      <c r="Q58" s="215" t="s">
        <v>120</v>
      </c>
      <c r="R58" s="209" t="s">
        <v>109</v>
      </c>
      <c r="S58" s="177" t="s">
        <v>423</v>
      </c>
    </row>
    <row r="59" spans="1:19" ht="22.5" customHeight="1" thickBot="1" x14ac:dyDescent="0.25">
      <c r="A59" s="195">
        <v>58</v>
      </c>
      <c r="B59" s="171" t="s">
        <v>238</v>
      </c>
      <c r="C59" s="196" t="s">
        <v>142</v>
      </c>
      <c r="D59" s="196" t="s">
        <v>143</v>
      </c>
      <c r="E59" s="196" t="s">
        <v>54</v>
      </c>
      <c r="F59" s="197">
        <v>46107</v>
      </c>
      <c r="G59" s="196" t="s">
        <v>143</v>
      </c>
      <c r="H59" s="198">
        <v>38319479403</v>
      </c>
      <c r="I59" s="172">
        <v>1200</v>
      </c>
      <c r="J59" s="172">
        <v>150</v>
      </c>
      <c r="K59" s="169"/>
      <c r="L59" s="199">
        <v>30044</v>
      </c>
      <c r="M59" s="169"/>
      <c r="N59" s="169"/>
      <c r="O59" s="169"/>
      <c r="P59" s="169"/>
      <c r="Q59" s="214" t="s">
        <v>120</v>
      </c>
      <c r="R59" s="193" t="s">
        <v>109</v>
      </c>
      <c r="S59" s="167" t="s">
        <v>424</v>
      </c>
    </row>
    <row r="60" spans="1:19" ht="22.5" customHeight="1" thickBot="1" x14ac:dyDescent="0.25">
      <c r="A60" s="194">
        <v>59</v>
      </c>
      <c r="B60" s="210" t="s">
        <v>239</v>
      </c>
      <c r="C60" s="178" t="s">
        <v>144</v>
      </c>
      <c r="D60" s="178" t="s">
        <v>145</v>
      </c>
      <c r="E60" s="178" t="s">
        <v>54</v>
      </c>
      <c r="F60" s="180">
        <v>46107</v>
      </c>
      <c r="G60" s="178" t="s">
        <v>145</v>
      </c>
      <c r="H60" s="181">
        <v>38319789306</v>
      </c>
      <c r="I60" s="182">
        <v>1200</v>
      </c>
      <c r="J60" s="182">
        <v>150</v>
      </c>
      <c r="K60" s="179"/>
      <c r="L60" s="177">
        <v>1970</v>
      </c>
      <c r="M60" s="179"/>
      <c r="N60" s="179"/>
      <c r="O60" s="179"/>
      <c r="P60" s="179"/>
      <c r="Q60" s="215" t="s">
        <v>120</v>
      </c>
      <c r="R60" s="209" t="s">
        <v>109</v>
      </c>
      <c r="S60" s="177" t="s">
        <v>425</v>
      </c>
    </row>
    <row r="61" spans="1:19" ht="22.5" customHeight="1" thickBot="1" x14ac:dyDescent="0.25">
      <c r="A61" s="195">
        <v>60</v>
      </c>
      <c r="B61" s="171" t="s">
        <v>240</v>
      </c>
      <c r="C61" s="196" t="s">
        <v>146</v>
      </c>
      <c r="D61" s="196" t="s">
        <v>147</v>
      </c>
      <c r="E61" s="196" t="s">
        <v>54</v>
      </c>
      <c r="F61" s="197">
        <v>46107</v>
      </c>
      <c r="G61" s="196" t="s">
        <v>147</v>
      </c>
      <c r="H61" s="198">
        <v>38319801934</v>
      </c>
      <c r="I61" s="172">
        <v>1200</v>
      </c>
      <c r="J61" s="172">
        <v>150</v>
      </c>
      <c r="K61" s="169"/>
      <c r="L61" s="167">
        <v>1987</v>
      </c>
      <c r="M61" s="169"/>
      <c r="N61" s="169"/>
      <c r="O61" s="169"/>
      <c r="P61" s="169"/>
      <c r="Q61" s="214" t="s">
        <v>120</v>
      </c>
      <c r="R61" s="193" t="s">
        <v>109</v>
      </c>
      <c r="S61" s="167" t="s">
        <v>426</v>
      </c>
    </row>
    <row r="62" spans="1:19" ht="22.5" customHeight="1" thickBot="1" x14ac:dyDescent="0.25">
      <c r="A62" s="194">
        <v>61</v>
      </c>
      <c r="B62" s="210" t="s">
        <v>241</v>
      </c>
      <c r="C62" s="178" t="s">
        <v>148</v>
      </c>
      <c r="D62" s="178" t="s">
        <v>149</v>
      </c>
      <c r="E62" s="178" t="s">
        <v>54</v>
      </c>
      <c r="F62" s="180">
        <v>46107</v>
      </c>
      <c r="G62" s="178" t="s">
        <v>149</v>
      </c>
      <c r="H62" s="181">
        <v>38319795817</v>
      </c>
      <c r="I62" s="182">
        <v>1200</v>
      </c>
      <c r="J62" s="182">
        <v>150</v>
      </c>
      <c r="K62" s="179"/>
      <c r="L62" s="177">
        <v>1985</v>
      </c>
      <c r="M62" s="179"/>
      <c r="N62" s="179"/>
      <c r="O62" s="179"/>
      <c r="P62" s="179"/>
      <c r="Q62" s="215" t="s">
        <v>120</v>
      </c>
      <c r="R62" s="209" t="s">
        <v>109</v>
      </c>
      <c r="S62" s="177" t="s">
        <v>427</v>
      </c>
    </row>
    <row r="63" spans="1:19" ht="22.5" customHeight="1" thickBot="1" x14ac:dyDescent="0.25">
      <c r="A63" s="195">
        <v>62</v>
      </c>
      <c r="B63" s="171" t="s">
        <v>223</v>
      </c>
      <c r="C63" s="196" t="s">
        <v>150</v>
      </c>
      <c r="D63" s="169"/>
      <c r="E63" s="196" t="s">
        <v>16</v>
      </c>
      <c r="F63" s="197">
        <v>46110</v>
      </c>
      <c r="G63" s="169"/>
      <c r="H63" s="169"/>
      <c r="I63" s="172">
        <v>1200</v>
      </c>
      <c r="J63" s="172">
        <v>150</v>
      </c>
      <c r="K63" s="169"/>
      <c r="L63" s="169"/>
      <c r="M63" s="169"/>
      <c r="N63" s="169"/>
      <c r="O63" s="169"/>
      <c r="P63" s="169"/>
      <c r="Q63" s="216" t="s">
        <v>108</v>
      </c>
      <c r="R63" s="175" t="s">
        <v>106</v>
      </c>
      <c r="S63" s="167" t="s">
        <v>428</v>
      </c>
    </row>
    <row r="64" spans="1:19" ht="22.5" customHeight="1" thickBot="1" x14ac:dyDescent="0.25">
      <c r="A64" s="194">
        <v>63</v>
      </c>
      <c r="B64" s="210" t="s">
        <v>224</v>
      </c>
      <c r="C64" s="178" t="s">
        <v>151</v>
      </c>
      <c r="D64" s="179"/>
      <c r="E64" s="178" t="s">
        <v>110</v>
      </c>
      <c r="F64" s="180">
        <v>46110</v>
      </c>
      <c r="G64" s="179"/>
      <c r="H64" s="179"/>
      <c r="I64" s="182">
        <v>1200</v>
      </c>
      <c r="J64" s="182">
        <v>150</v>
      </c>
      <c r="K64" s="179"/>
      <c r="L64" s="179"/>
      <c r="M64" s="179"/>
      <c r="N64" s="179"/>
      <c r="O64" s="179"/>
      <c r="P64" s="179"/>
      <c r="Q64" s="218" t="s">
        <v>108</v>
      </c>
      <c r="R64" s="209" t="s">
        <v>109</v>
      </c>
      <c r="S64" s="177" t="s">
        <v>429</v>
      </c>
    </row>
    <row r="65" spans="1:19" ht="22.5" customHeight="1" thickBot="1" x14ac:dyDescent="0.25">
      <c r="A65" s="195">
        <v>64</v>
      </c>
      <c r="B65" s="171" t="s">
        <v>225</v>
      </c>
      <c r="C65" s="196" t="s">
        <v>152</v>
      </c>
      <c r="D65" s="169"/>
      <c r="E65" s="196" t="s">
        <v>111</v>
      </c>
      <c r="F65" s="197">
        <v>46110</v>
      </c>
      <c r="G65" s="169"/>
      <c r="H65" s="169"/>
      <c r="I65" s="172">
        <v>1000</v>
      </c>
      <c r="J65" s="172">
        <v>125</v>
      </c>
      <c r="K65" s="169"/>
      <c r="L65" s="169"/>
      <c r="M65" s="169"/>
      <c r="N65" s="169"/>
      <c r="O65" s="169"/>
      <c r="P65" s="169"/>
      <c r="Q65" s="216" t="s">
        <v>108</v>
      </c>
      <c r="R65" s="193" t="s">
        <v>109</v>
      </c>
      <c r="S65" s="167" t="s">
        <v>430</v>
      </c>
    </row>
    <row r="66" spans="1:19" ht="22.5" customHeight="1" thickBot="1" x14ac:dyDescent="0.25">
      <c r="A66" s="194">
        <v>65</v>
      </c>
      <c r="B66" s="210" t="s">
        <v>226</v>
      </c>
      <c r="C66" s="178" t="s">
        <v>153</v>
      </c>
      <c r="D66" s="179"/>
      <c r="E66" s="178" t="s">
        <v>111</v>
      </c>
      <c r="F66" s="180">
        <v>46110</v>
      </c>
      <c r="G66" s="179"/>
      <c r="H66" s="179"/>
      <c r="I66" s="182">
        <v>1000</v>
      </c>
      <c r="J66" s="182">
        <v>125</v>
      </c>
      <c r="K66" s="179"/>
      <c r="L66" s="179"/>
      <c r="M66" s="179"/>
      <c r="N66" s="179"/>
      <c r="O66" s="179"/>
      <c r="P66" s="179"/>
      <c r="Q66" s="218" t="s">
        <v>108</v>
      </c>
      <c r="R66" s="209" t="s">
        <v>109</v>
      </c>
      <c r="S66" s="177" t="s">
        <v>431</v>
      </c>
    </row>
    <row r="67" spans="1:19" ht="22.5" customHeight="1" thickBot="1" x14ac:dyDescent="0.25">
      <c r="A67" s="195">
        <v>66</v>
      </c>
      <c r="B67" s="171" t="s">
        <v>227</v>
      </c>
      <c r="C67" s="196" t="s">
        <v>154</v>
      </c>
      <c r="D67" s="169"/>
      <c r="E67" s="196" t="s">
        <v>111</v>
      </c>
      <c r="F67" s="197">
        <v>46110</v>
      </c>
      <c r="G67" s="169"/>
      <c r="H67" s="169"/>
      <c r="I67" s="172">
        <v>1000</v>
      </c>
      <c r="J67" s="172">
        <v>125</v>
      </c>
      <c r="K67" s="169"/>
      <c r="L67" s="169"/>
      <c r="M67" s="169"/>
      <c r="N67" s="169"/>
      <c r="O67" s="169"/>
      <c r="P67" s="169"/>
      <c r="Q67" s="216" t="s">
        <v>108</v>
      </c>
      <c r="R67" s="193" t="s">
        <v>109</v>
      </c>
      <c r="S67" s="167" t="s">
        <v>432</v>
      </c>
    </row>
    <row r="68" spans="1:19" ht="22.5" customHeight="1" thickBot="1" x14ac:dyDescent="0.25">
      <c r="A68" s="194">
        <v>67</v>
      </c>
      <c r="B68" s="210" t="s">
        <v>228</v>
      </c>
      <c r="C68" s="178" t="s">
        <v>155</v>
      </c>
      <c r="D68" s="179"/>
      <c r="E68" s="178" t="s">
        <v>111</v>
      </c>
      <c r="F68" s="180">
        <v>46475</v>
      </c>
      <c r="G68" s="179"/>
      <c r="H68" s="179"/>
      <c r="I68" s="182">
        <v>1000</v>
      </c>
      <c r="J68" s="182">
        <v>125</v>
      </c>
      <c r="K68" s="179"/>
      <c r="L68" s="179"/>
      <c r="M68" s="179"/>
      <c r="N68" s="179"/>
      <c r="O68" s="179"/>
      <c r="P68" s="179"/>
      <c r="Q68" s="218" t="s">
        <v>108</v>
      </c>
      <c r="R68" s="209" t="s">
        <v>109</v>
      </c>
      <c r="S68" s="177" t="s">
        <v>433</v>
      </c>
    </row>
    <row r="69" spans="1:19" ht="22.5" customHeight="1" thickBot="1" x14ac:dyDescent="0.25">
      <c r="A69" s="195">
        <v>68</v>
      </c>
      <c r="B69" s="171" t="s">
        <v>229</v>
      </c>
      <c r="C69" s="196" t="s">
        <v>156</v>
      </c>
      <c r="D69" s="169"/>
      <c r="E69" s="196" t="s">
        <v>111</v>
      </c>
      <c r="F69" s="197">
        <v>46111</v>
      </c>
      <c r="G69" s="169"/>
      <c r="H69" s="169"/>
      <c r="I69" s="172">
        <v>1000</v>
      </c>
      <c r="J69" s="172">
        <v>125</v>
      </c>
      <c r="K69" s="169"/>
      <c r="L69" s="169"/>
      <c r="M69" s="169"/>
      <c r="N69" s="169"/>
      <c r="O69" s="169"/>
      <c r="P69" s="169"/>
      <c r="Q69" s="216" t="s">
        <v>108</v>
      </c>
      <c r="R69" s="175" t="s">
        <v>106</v>
      </c>
      <c r="S69" s="167" t="s">
        <v>434</v>
      </c>
    </row>
    <row r="70" spans="1:19" ht="22.5" customHeight="1" thickBot="1" x14ac:dyDescent="0.25">
      <c r="A70" s="194">
        <v>69</v>
      </c>
      <c r="B70" s="210" t="s">
        <v>230</v>
      </c>
      <c r="C70" s="178" t="s">
        <v>157</v>
      </c>
      <c r="D70" s="179"/>
      <c r="E70" s="178" t="s">
        <v>111</v>
      </c>
      <c r="F70" s="180">
        <v>46111</v>
      </c>
      <c r="G70" s="179"/>
      <c r="H70" s="179"/>
      <c r="I70" s="182">
        <v>1000</v>
      </c>
      <c r="J70" s="182">
        <v>125</v>
      </c>
      <c r="K70" s="179"/>
      <c r="L70" s="179"/>
      <c r="M70" s="179"/>
      <c r="N70" s="179"/>
      <c r="O70" s="179"/>
      <c r="P70" s="179"/>
      <c r="Q70" s="218" t="s">
        <v>108</v>
      </c>
      <c r="R70" s="209" t="s">
        <v>109</v>
      </c>
      <c r="S70" s="177" t="s">
        <v>435</v>
      </c>
    </row>
    <row r="71" spans="1:19" ht="22.5" customHeight="1" thickBot="1" x14ac:dyDescent="0.25">
      <c r="A71" s="195">
        <v>70</v>
      </c>
      <c r="B71" s="171" t="s">
        <v>436</v>
      </c>
      <c r="C71" s="196" t="s">
        <v>158</v>
      </c>
      <c r="D71" s="169"/>
      <c r="E71" s="196" t="s">
        <v>46</v>
      </c>
      <c r="F71" s="200">
        <v>46111</v>
      </c>
      <c r="G71" s="169"/>
      <c r="H71" s="169"/>
      <c r="I71" s="172">
        <v>666.67</v>
      </c>
      <c r="J71" s="172">
        <v>83.333749999999995</v>
      </c>
      <c r="K71" s="169"/>
      <c r="L71" s="169"/>
      <c r="M71" s="169"/>
      <c r="N71" s="169"/>
      <c r="O71" s="169"/>
      <c r="P71" s="169"/>
      <c r="Q71" s="216" t="s">
        <v>108</v>
      </c>
      <c r="R71" s="175" t="s">
        <v>106</v>
      </c>
      <c r="S71" s="167" t="s">
        <v>437</v>
      </c>
    </row>
    <row r="72" spans="1:19" ht="22.5" customHeight="1" thickBot="1" x14ac:dyDescent="0.25">
      <c r="A72" s="194">
        <v>71</v>
      </c>
      <c r="B72" s="210" t="s">
        <v>251</v>
      </c>
      <c r="C72" s="178" t="s">
        <v>159</v>
      </c>
      <c r="D72" s="179"/>
      <c r="E72" s="178" t="s">
        <v>110</v>
      </c>
      <c r="F72" s="184">
        <v>46112</v>
      </c>
      <c r="G72" s="179"/>
      <c r="H72" s="179"/>
      <c r="I72" s="182">
        <v>1000</v>
      </c>
      <c r="J72" s="182">
        <v>125</v>
      </c>
      <c r="K72" s="179"/>
      <c r="L72" s="179"/>
      <c r="M72" s="179"/>
      <c r="N72" s="179"/>
      <c r="O72" s="179"/>
      <c r="P72" s="179"/>
      <c r="Q72" s="215" t="s">
        <v>120</v>
      </c>
      <c r="R72" s="186" t="s">
        <v>106</v>
      </c>
      <c r="S72" s="177" t="s">
        <v>438</v>
      </c>
    </row>
    <row r="73" spans="1:19" ht="22.5" customHeight="1" thickBot="1" x14ac:dyDescent="0.25">
      <c r="A73" s="195">
        <v>72</v>
      </c>
      <c r="B73" s="171" t="s">
        <v>252</v>
      </c>
      <c r="C73" s="196" t="s">
        <v>160</v>
      </c>
      <c r="D73" s="169"/>
      <c r="E73" s="196" t="s">
        <v>54</v>
      </c>
      <c r="F73" s="200">
        <v>46113</v>
      </c>
      <c r="G73" s="169"/>
      <c r="H73" s="169"/>
      <c r="I73" s="172">
        <v>1150</v>
      </c>
      <c r="J73" s="172">
        <v>143.75</v>
      </c>
      <c r="K73" s="169"/>
      <c r="L73" s="169"/>
      <c r="M73" s="169"/>
      <c r="N73" s="169"/>
      <c r="O73" s="169"/>
      <c r="P73" s="169"/>
      <c r="Q73" s="214" t="s">
        <v>120</v>
      </c>
      <c r="R73" s="193" t="s">
        <v>109</v>
      </c>
      <c r="S73" s="167" t="s">
        <v>439</v>
      </c>
    </row>
    <row r="74" spans="1:19" ht="22.5" customHeight="1" thickBot="1" x14ac:dyDescent="0.25">
      <c r="A74" s="194">
        <v>73</v>
      </c>
      <c r="B74" s="210" t="s">
        <v>253</v>
      </c>
      <c r="C74" s="178" t="s">
        <v>161</v>
      </c>
      <c r="D74" s="178">
        <v>931055303283</v>
      </c>
      <c r="E74" s="178" t="s">
        <v>54</v>
      </c>
      <c r="F74" s="184">
        <v>46113</v>
      </c>
      <c r="G74" s="181">
        <v>931055303283</v>
      </c>
      <c r="H74" s="181">
        <v>38323740500</v>
      </c>
      <c r="I74" s="182">
        <v>1150</v>
      </c>
      <c r="J74" s="182">
        <v>143.75</v>
      </c>
      <c r="K74" s="179"/>
      <c r="L74" s="179"/>
      <c r="M74" s="179"/>
      <c r="N74" s="179"/>
      <c r="O74" s="179"/>
      <c r="P74" s="179"/>
      <c r="Q74" s="215" t="s">
        <v>120</v>
      </c>
      <c r="R74" s="209" t="s">
        <v>109</v>
      </c>
      <c r="S74" s="177" t="s">
        <v>440</v>
      </c>
    </row>
    <row r="75" spans="1:19" ht="22.5" customHeight="1" thickBot="1" x14ac:dyDescent="0.25">
      <c r="A75" s="195">
        <v>74</v>
      </c>
      <c r="B75" s="171" t="s">
        <v>255</v>
      </c>
      <c r="C75" s="196" t="s">
        <v>162</v>
      </c>
      <c r="D75" s="169"/>
      <c r="E75" s="196" t="s">
        <v>54</v>
      </c>
      <c r="F75" s="169"/>
      <c r="G75" s="169"/>
      <c r="H75" s="169"/>
      <c r="I75" s="169"/>
      <c r="J75" s="172">
        <v>0</v>
      </c>
      <c r="K75" s="169"/>
      <c r="L75" s="169"/>
      <c r="M75" s="169"/>
      <c r="N75" s="169"/>
      <c r="O75" s="169"/>
      <c r="P75" s="169"/>
      <c r="Q75" s="214" t="s">
        <v>120</v>
      </c>
      <c r="R75" s="193" t="s">
        <v>109</v>
      </c>
      <c r="S75" s="167" t="s">
        <v>441</v>
      </c>
    </row>
    <row r="76" spans="1:19" ht="22.5" customHeight="1" thickBot="1" x14ac:dyDescent="0.25">
      <c r="A76" s="194">
        <v>75</v>
      </c>
      <c r="B76" s="210" t="s">
        <v>256</v>
      </c>
      <c r="C76" s="178" t="s">
        <v>163</v>
      </c>
      <c r="D76" s="179"/>
      <c r="E76" s="178" t="s">
        <v>54</v>
      </c>
      <c r="F76" s="179"/>
      <c r="G76" s="179"/>
      <c r="H76" s="179"/>
      <c r="I76" s="179"/>
      <c r="J76" s="182">
        <v>0</v>
      </c>
      <c r="K76" s="179"/>
      <c r="L76" s="179"/>
      <c r="M76" s="179"/>
      <c r="N76" s="179"/>
      <c r="O76" s="179"/>
      <c r="P76" s="179"/>
      <c r="Q76" s="215" t="s">
        <v>120</v>
      </c>
      <c r="R76" s="209" t="s">
        <v>109</v>
      </c>
      <c r="S76" s="177" t="s">
        <v>442</v>
      </c>
    </row>
    <row r="77" spans="1:19" ht="22.5" customHeight="1" thickBot="1" x14ac:dyDescent="0.25">
      <c r="A77" s="195">
        <v>76</v>
      </c>
      <c r="B77" s="171" t="s">
        <v>257</v>
      </c>
      <c r="C77" s="196" t="s">
        <v>164</v>
      </c>
      <c r="D77" s="169"/>
      <c r="E77" s="196" t="s">
        <v>54</v>
      </c>
      <c r="F77" s="169"/>
      <c r="G77" s="169"/>
      <c r="H77" s="169"/>
      <c r="I77" s="169"/>
      <c r="J77" s="172">
        <v>0</v>
      </c>
      <c r="K77" s="169"/>
      <c r="L77" s="169"/>
      <c r="M77" s="169"/>
      <c r="N77" s="169"/>
      <c r="O77" s="169"/>
      <c r="P77" s="169"/>
      <c r="Q77" s="214" t="s">
        <v>120</v>
      </c>
      <c r="R77" s="219" t="s">
        <v>109</v>
      </c>
      <c r="S77" s="220" t="s">
        <v>443</v>
      </c>
    </row>
    <row r="78" spans="1:19" ht="22.5" customHeight="1" thickBot="1" x14ac:dyDescent="0.25">
      <c r="A78" s="194">
        <v>77</v>
      </c>
      <c r="B78" s="210" t="s">
        <v>258</v>
      </c>
      <c r="C78" s="178" t="s">
        <v>165</v>
      </c>
      <c r="D78" s="179"/>
      <c r="E78" s="178" t="s">
        <v>54</v>
      </c>
      <c r="F78" s="179"/>
      <c r="G78" s="179"/>
      <c r="H78" s="179"/>
      <c r="I78" s="179"/>
      <c r="J78" s="182">
        <v>0</v>
      </c>
      <c r="K78" s="179"/>
      <c r="L78" s="179"/>
      <c r="M78" s="179"/>
      <c r="N78" s="179"/>
      <c r="O78" s="179"/>
      <c r="P78" s="179"/>
      <c r="Q78" s="215" t="s">
        <v>120</v>
      </c>
      <c r="R78" s="221" t="s">
        <v>109</v>
      </c>
      <c r="S78" s="222" t="s">
        <v>444</v>
      </c>
    </row>
    <row r="79" spans="1:19" ht="22.5" customHeight="1" thickBot="1" x14ac:dyDescent="0.25">
      <c r="A79" s="195">
        <v>78</v>
      </c>
      <c r="B79" s="171" t="s">
        <v>259</v>
      </c>
      <c r="C79" s="196" t="s">
        <v>166</v>
      </c>
      <c r="D79" s="168">
        <v>746862386874</v>
      </c>
      <c r="E79" s="196" t="s">
        <v>54</v>
      </c>
      <c r="F79" s="169"/>
      <c r="G79" s="170">
        <v>746862386874</v>
      </c>
      <c r="H79" s="198">
        <v>38324817676</v>
      </c>
      <c r="I79" s="172">
        <v>1150</v>
      </c>
      <c r="J79" s="172">
        <v>143.75</v>
      </c>
      <c r="K79" s="169"/>
      <c r="L79" s="169"/>
      <c r="M79" s="169"/>
      <c r="N79" s="169"/>
      <c r="O79" s="169"/>
      <c r="P79" s="169"/>
      <c r="Q79" s="214" t="s">
        <v>120</v>
      </c>
      <c r="R79" s="193" t="s">
        <v>109</v>
      </c>
      <c r="S79" s="167" t="s">
        <v>445</v>
      </c>
    </row>
    <row r="80" spans="1:19" ht="22.5" customHeight="1" thickBot="1" x14ac:dyDescent="0.25">
      <c r="A80" s="194">
        <v>79</v>
      </c>
      <c r="B80" s="210" t="s">
        <v>261</v>
      </c>
      <c r="C80" s="178" t="s">
        <v>167</v>
      </c>
      <c r="D80" s="178" t="s">
        <v>168</v>
      </c>
      <c r="E80" s="178" t="s">
        <v>54</v>
      </c>
      <c r="F80" s="179"/>
      <c r="G80" s="179"/>
      <c r="H80" s="179"/>
      <c r="I80" s="182">
        <v>1150</v>
      </c>
      <c r="J80" s="182">
        <v>143.75</v>
      </c>
      <c r="K80" s="179"/>
      <c r="L80" s="179"/>
      <c r="M80" s="179"/>
      <c r="N80" s="179"/>
      <c r="O80" s="179"/>
      <c r="P80" s="179"/>
      <c r="Q80" s="215" t="s">
        <v>120</v>
      </c>
      <c r="R80" s="209" t="s">
        <v>109</v>
      </c>
      <c r="S80" s="177" t="s">
        <v>446</v>
      </c>
    </row>
    <row r="81" spans="1:19" ht="22.5" customHeight="1" thickBot="1" x14ac:dyDescent="0.25">
      <c r="A81" s="195">
        <v>80</v>
      </c>
      <c r="B81" s="171" t="s">
        <v>262</v>
      </c>
      <c r="C81" s="196" t="s">
        <v>169</v>
      </c>
      <c r="D81" s="196">
        <v>251260000241</v>
      </c>
      <c r="E81" s="196" t="s">
        <v>54</v>
      </c>
      <c r="F81" s="169"/>
      <c r="G81" s="198">
        <v>251260000241</v>
      </c>
      <c r="H81" s="198">
        <v>38323744969</v>
      </c>
      <c r="I81" s="172">
        <v>1150</v>
      </c>
      <c r="J81" s="172">
        <v>143.75</v>
      </c>
      <c r="K81" s="169"/>
      <c r="L81" s="169"/>
      <c r="M81" s="169"/>
      <c r="N81" s="169"/>
      <c r="O81" s="169"/>
      <c r="P81" s="169"/>
      <c r="Q81" s="214" t="s">
        <v>120</v>
      </c>
      <c r="R81" s="193" t="s">
        <v>109</v>
      </c>
      <c r="S81" s="167" t="s">
        <v>447</v>
      </c>
    </row>
    <row r="82" spans="1:19" ht="22.5" customHeight="1" thickBot="1" x14ac:dyDescent="0.25">
      <c r="A82" s="194">
        <v>81</v>
      </c>
      <c r="B82" s="210" t="s">
        <v>264</v>
      </c>
      <c r="C82" s="178" t="s">
        <v>170</v>
      </c>
      <c r="D82" s="211">
        <v>478614394316</v>
      </c>
      <c r="E82" s="178" t="s">
        <v>54</v>
      </c>
      <c r="F82" s="179"/>
      <c r="G82" s="223">
        <v>478614394316</v>
      </c>
      <c r="H82" s="181">
        <v>38324821324</v>
      </c>
      <c r="I82" s="182">
        <v>1150</v>
      </c>
      <c r="J82" s="182">
        <v>143.75</v>
      </c>
      <c r="K82" s="179"/>
      <c r="L82" s="179"/>
      <c r="M82" s="179"/>
      <c r="N82" s="179"/>
      <c r="O82" s="179"/>
      <c r="P82" s="179"/>
      <c r="Q82" s="215" t="s">
        <v>120</v>
      </c>
      <c r="R82" s="209" t="s">
        <v>109</v>
      </c>
      <c r="S82" s="177" t="s">
        <v>448</v>
      </c>
    </row>
    <row r="83" spans="1:19" ht="22.5" customHeight="1" thickBot="1" x14ac:dyDescent="0.25">
      <c r="A83" s="195">
        <v>82</v>
      </c>
      <c r="B83" s="171" t="s">
        <v>266</v>
      </c>
      <c r="C83" s="196" t="s">
        <v>171</v>
      </c>
      <c r="D83" s="196">
        <v>681518845839</v>
      </c>
      <c r="E83" s="196" t="s">
        <v>54</v>
      </c>
      <c r="F83" s="169"/>
      <c r="G83" s="198">
        <v>681518845839</v>
      </c>
      <c r="H83" s="198">
        <v>38323955283</v>
      </c>
      <c r="I83" s="172">
        <v>1150</v>
      </c>
      <c r="J83" s="172">
        <v>143.75</v>
      </c>
      <c r="K83" s="169"/>
      <c r="L83" s="169"/>
      <c r="M83" s="169"/>
      <c r="N83" s="169"/>
      <c r="O83" s="169"/>
      <c r="P83" s="169"/>
      <c r="Q83" s="214" t="s">
        <v>120</v>
      </c>
      <c r="R83" s="193" t="s">
        <v>109</v>
      </c>
      <c r="S83" s="167" t="s">
        <v>449</v>
      </c>
    </row>
    <row r="84" spans="1:19" ht="22.5" customHeight="1" thickBot="1" x14ac:dyDescent="0.25">
      <c r="A84" s="194">
        <v>83</v>
      </c>
      <c r="B84" s="210" t="s">
        <v>268</v>
      </c>
      <c r="C84" s="178" t="s">
        <v>172</v>
      </c>
      <c r="D84" s="178">
        <v>861114897552</v>
      </c>
      <c r="E84" s="178" t="s">
        <v>54</v>
      </c>
      <c r="F84" s="179"/>
      <c r="G84" s="181">
        <v>861114897552</v>
      </c>
      <c r="H84" s="181">
        <v>38323956482</v>
      </c>
      <c r="I84" s="182">
        <v>1150</v>
      </c>
      <c r="J84" s="182">
        <v>143.75</v>
      </c>
      <c r="K84" s="179"/>
      <c r="L84" s="179"/>
      <c r="M84" s="179"/>
      <c r="N84" s="179"/>
      <c r="O84" s="179"/>
      <c r="P84" s="179"/>
      <c r="Q84" s="215" t="s">
        <v>120</v>
      </c>
      <c r="R84" s="209" t="s">
        <v>109</v>
      </c>
      <c r="S84" s="177" t="s">
        <v>450</v>
      </c>
    </row>
    <row r="85" spans="1:19" ht="22.5" customHeight="1" thickBot="1" x14ac:dyDescent="0.25">
      <c r="A85" s="195">
        <v>84</v>
      </c>
      <c r="B85" s="171" t="s">
        <v>269</v>
      </c>
      <c r="C85" s="196" t="s">
        <v>173</v>
      </c>
      <c r="D85" s="224">
        <v>841140311312</v>
      </c>
      <c r="E85" s="196" t="s">
        <v>54</v>
      </c>
      <c r="F85" s="169"/>
      <c r="G85" s="225">
        <v>841140311312</v>
      </c>
      <c r="H85" s="198">
        <v>38324823679</v>
      </c>
      <c r="I85" s="172">
        <v>1150</v>
      </c>
      <c r="J85" s="172">
        <v>143.75</v>
      </c>
      <c r="K85" s="169"/>
      <c r="L85" s="169"/>
      <c r="M85" s="169"/>
      <c r="N85" s="169"/>
      <c r="O85" s="169"/>
      <c r="P85" s="169"/>
      <c r="Q85" s="214" t="s">
        <v>120</v>
      </c>
      <c r="R85" s="193" t="s">
        <v>109</v>
      </c>
      <c r="S85" s="167" t="s">
        <v>451</v>
      </c>
    </row>
    <row r="86" spans="1:19" ht="22.5" customHeight="1" thickBot="1" x14ac:dyDescent="0.25">
      <c r="A86" s="194">
        <v>85</v>
      </c>
      <c r="B86" s="210" t="s">
        <v>271</v>
      </c>
      <c r="C86" s="178" t="s">
        <v>174</v>
      </c>
      <c r="D86" s="211">
        <v>234066422906</v>
      </c>
      <c r="E86" s="178" t="s">
        <v>175</v>
      </c>
      <c r="F86" s="179"/>
      <c r="G86" s="223">
        <v>234066422906</v>
      </c>
      <c r="H86" s="181">
        <v>38324822498</v>
      </c>
      <c r="I86" s="182">
        <v>1100</v>
      </c>
      <c r="J86" s="182">
        <v>137.5</v>
      </c>
      <c r="K86" s="179"/>
      <c r="L86" s="179"/>
      <c r="M86" s="179"/>
      <c r="N86" s="179"/>
      <c r="O86" s="179"/>
      <c r="P86" s="179"/>
      <c r="Q86" s="215" t="s">
        <v>120</v>
      </c>
      <c r="R86" s="209" t="s">
        <v>109</v>
      </c>
      <c r="S86" s="177" t="s">
        <v>452</v>
      </c>
    </row>
    <row r="87" spans="1:19" ht="22.5" customHeight="1" thickBot="1" x14ac:dyDescent="0.25">
      <c r="A87" s="195">
        <v>86</v>
      </c>
      <c r="B87" s="171" t="s">
        <v>274</v>
      </c>
      <c r="C87" s="196" t="s">
        <v>176</v>
      </c>
      <c r="D87" s="196">
        <v>672440428891</v>
      </c>
      <c r="E87" s="196" t="s">
        <v>175</v>
      </c>
      <c r="F87" s="169"/>
      <c r="G87" s="198">
        <v>672440428891</v>
      </c>
      <c r="H87" s="198">
        <v>38323962198</v>
      </c>
      <c r="I87" s="172">
        <v>1100</v>
      </c>
      <c r="J87" s="172">
        <v>137.5</v>
      </c>
      <c r="K87" s="169"/>
      <c r="L87" s="169"/>
      <c r="M87" s="169"/>
      <c r="N87" s="169"/>
      <c r="O87" s="169"/>
      <c r="P87" s="169"/>
      <c r="Q87" s="214" t="s">
        <v>120</v>
      </c>
      <c r="R87" s="193" t="s">
        <v>109</v>
      </c>
      <c r="S87" s="167" t="s">
        <v>453</v>
      </c>
    </row>
    <row r="88" spans="1:19" ht="22.5" customHeight="1" thickBot="1" x14ac:dyDescent="0.25">
      <c r="A88" s="194">
        <v>87</v>
      </c>
      <c r="B88" s="210" t="s">
        <v>276</v>
      </c>
      <c r="C88" s="178" t="s">
        <v>177</v>
      </c>
      <c r="D88" s="178">
        <v>467827424023</v>
      </c>
      <c r="E88" s="178" t="s">
        <v>175</v>
      </c>
      <c r="F88" s="179"/>
      <c r="G88" s="181">
        <v>467827424023</v>
      </c>
      <c r="H88" s="181">
        <v>38324827454</v>
      </c>
      <c r="I88" s="182">
        <v>1100</v>
      </c>
      <c r="J88" s="182">
        <v>137.5</v>
      </c>
      <c r="K88" s="179"/>
      <c r="L88" s="179"/>
      <c r="M88" s="179"/>
      <c r="N88" s="179"/>
      <c r="O88" s="179"/>
      <c r="P88" s="179"/>
      <c r="Q88" s="215" t="s">
        <v>120</v>
      </c>
      <c r="R88" s="209" t="s">
        <v>109</v>
      </c>
      <c r="S88" s="177" t="s">
        <v>454</v>
      </c>
    </row>
    <row r="89" spans="1:19" ht="22.5" customHeight="1" thickBot="1" x14ac:dyDescent="0.25">
      <c r="A89" s="195">
        <v>88</v>
      </c>
      <c r="B89" s="171" t="s">
        <v>278</v>
      </c>
      <c r="C89" s="196" t="s">
        <v>178</v>
      </c>
      <c r="D89" s="196">
        <v>522661453571</v>
      </c>
      <c r="E89" s="196" t="s">
        <v>175</v>
      </c>
      <c r="F89" s="169"/>
      <c r="G89" s="198">
        <v>522661453571</v>
      </c>
      <c r="H89" s="198">
        <v>38323960894</v>
      </c>
      <c r="I89" s="172">
        <v>1100</v>
      </c>
      <c r="J89" s="172">
        <v>137.5</v>
      </c>
      <c r="K89" s="169"/>
      <c r="L89" s="169"/>
      <c r="M89" s="169"/>
      <c r="N89" s="169"/>
      <c r="O89" s="169"/>
      <c r="P89" s="169"/>
      <c r="Q89" s="214" t="s">
        <v>120</v>
      </c>
      <c r="R89" s="193" t="s">
        <v>109</v>
      </c>
      <c r="S89" s="167" t="s">
        <v>455</v>
      </c>
    </row>
    <row r="90" spans="1:19" ht="22.5" customHeight="1" thickBot="1" x14ac:dyDescent="0.25">
      <c r="A90" s="194">
        <v>89</v>
      </c>
      <c r="B90" s="210" t="s">
        <v>279</v>
      </c>
      <c r="C90" s="178" t="s">
        <v>161</v>
      </c>
      <c r="D90" s="179"/>
      <c r="E90" s="178" t="s">
        <v>175</v>
      </c>
      <c r="F90" s="179"/>
      <c r="G90" s="179"/>
      <c r="H90" s="179"/>
      <c r="I90" s="182">
        <v>1100</v>
      </c>
      <c r="J90" s="182">
        <v>137.5</v>
      </c>
      <c r="K90" s="179"/>
      <c r="L90" s="179"/>
      <c r="M90" s="179"/>
      <c r="N90" s="179"/>
      <c r="O90" s="179"/>
      <c r="P90" s="179"/>
      <c r="Q90" s="215" t="s">
        <v>120</v>
      </c>
      <c r="R90" s="226" t="s">
        <v>109</v>
      </c>
      <c r="S90" s="177" t="s">
        <v>456</v>
      </c>
    </row>
    <row r="91" spans="1:19" ht="22.5" customHeight="1" thickBot="1" x14ac:dyDescent="0.25">
      <c r="A91" s="195">
        <v>90</v>
      </c>
      <c r="B91" s="171" t="s">
        <v>457</v>
      </c>
      <c r="C91" s="196" t="s">
        <v>179</v>
      </c>
      <c r="D91" s="169"/>
      <c r="E91" s="196" t="s">
        <v>111</v>
      </c>
      <c r="F91" s="169"/>
      <c r="G91" s="169"/>
      <c r="H91" s="169"/>
      <c r="I91" s="172">
        <v>1000</v>
      </c>
      <c r="J91" s="172">
        <v>125</v>
      </c>
      <c r="K91" s="169"/>
      <c r="L91" s="169"/>
      <c r="M91" s="169"/>
      <c r="N91" s="169"/>
      <c r="O91" s="169"/>
      <c r="P91" s="169"/>
      <c r="Q91" s="216" t="s">
        <v>108</v>
      </c>
      <c r="R91" s="227" t="s">
        <v>106</v>
      </c>
      <c r="S91" s="167" t="s">
        <v>458</v>
      </c>
    </row>
    <row r="92" spans="1:19" ht="22.5" customHeight="1" thickBot="1" x14ac:dyDescent="0.25">
      <c r="A92" s="194">
        <v>91</v>
      </c>
      <c r="B92" s="210" t="s">
        <v>459</v>
      </c>
      <c r="C92" s="178" t="s">
        <v>180</v>
      </c>
      <c r="D92" s="178">
        <v>271029616008</v>
      </c>
      <c r="E92" s="178" t="s">
        <v>54</v>
      </c>
      <c r="F92" s="179"/>
      <c r="G92" s="181">
        <v>271029616008</v>
      </c>
      <c r="H92" s="181">
        <v>38324820895</v>
      </c>
      <c r="I92" s="182">
        <v>1150</v>
      </c>
      <c r="J92" s="182">
        <v>143.75</v>
      </c>
      <c r="K92" s="179"/>
      <c r="L92" s="179"/>
      <c r="M92" s="179"/>
      <c r="N92" s="179"/>
      <c r="O92" s="179"/>
      <c r="P92" s="179"/>
      <c r="Q92" s="179"/>
      <c r="R92" s="226" t="s">
        <v>109</v>
      </c>
      <c r="S92" s="177" t="s">
        <v>460</v>
      </c>
    </row>
    <row r="93" spans="1:19" ht="22.5" customHeight="1" thickBot="1" x14ac:dyDescent="0.25">
      <c r="A93" s="195">
        <v>92</v>
      </c>
      <c r="B93" s="171" t="s">
        <v>461</v>
      </c>
      <c r="C93" s="196" t="s">
        <v>462</v>
      </c>
      <c r="D93" s="169"/>
      <c r="E93" s="196" t="s">
        <v>54</v>
      </c>
      <c r="F93" s="169"/>
      <c r="G93" s="169"/>
      <c r="H93" s="169"/>
      <c r="I93" s="172">
        <v>1150</v>
      </c>
      <c r="J93" s="172">
        <v>143.75</v>
      </c>
      <c r="K93" s="169"/>
      <c r="L93" s="169"/>
      <c r="M93" s="169"/>
      <c r="N93" s="169"/>
      <c r="O93" s="169"/>
      <c r="P93" s="169"/>
      <c r="Q93" s="169"/>
      <c r="R93" s="227" t="s">
        <v>106</v>
      </c>
      <c r="S93" s="167" t="s">
        <v>463</v>
      </c>
    </row>
    <row r="94" spans="1:19" ht="22.5" customHeight="1" thickBot="1" x14ac:dyDescent="0.25">
      <c r="A94" s="194">
        <v>93</v>
      </c>
      <c r="B94" s="210" t="s">
        <v>464</v>
      </c>
      <c r="C94" s="178" t="s">
        <v>181</v>
      </c>
      <c r="D94" s="179"/>
      <c r="E94" s="178" t="s">
        <v>54</v>
      </c>
      <c r="F94" s="179"/>
      <c r="G94" s="179"/>
      <c r="H94" s="179"/>
      <c r="I94" s="182">
        <v>1150</v>
      </c>
      <c r="J94" s="182">
        <v>143.75</v>
      </c>
      <c r="K94" s="179"/>
      <c r="L94" s="179"/>
      <c r="M94" s="179"/>
      <c r="N94" s="179"/>
      <c r="O94" s="179"/>
      <c r="P94" s="179"/>
      <c r="Q94" s="179"/>
      <c r="R94" s="179"/>
      <c r="S94" s="177" t="s">
        <v>465</v>
      </c>
    </row>
    <row r="95" spans="1:19" ht="22.5" customHeight="1" thickBot="1" x14ac:dyDescent="0.25">
      <c r="A95" s="195">
        <v>94</v>
      </c>
      <c r="B95" s="171" t="s">
        <v>466</v>
      </c>
      <c r="C95" s="196" t="s">
        <v>182</v>
      </c>
      <c r="D95" s="169"/>
      <c r="E95" s="196" t="s">
        <v>54</v>
      </c>
      <c r="F95" s="169"/>
      <c r="G95" s="169"/>
      <c r="H95" s="169"/>
      <c r="I95" s="172">
        <v>1150</v>
      </c>
      <c r="J95" s="172">
        <v>143.75</v>
      </c>
      <c r="K95" s="169"/>
      <c r="L95" s="169"/>
      <c r="M95" s="169"/>
      <c r="N95" s="169"/>
      <c r="O95" s="169"/>
      <c r="P95" s="169"/>
      <c r="Q95" s="169"/>
      <c r="R95" s="169"/>
      <c r="S95" s="167" t="s">
        <v>467</v>
      </c>
    </row>
    <row r="96" spans="1:19" ht="22.5" customHeight="1" thickBot="1" x14ac:dyDescent="0.25">
      <c r="A96" s="194">
        <v>95</v>
      </c>
      <c r="B96" s="210" t="s">
        <v>468</v>
      </c>
      <c r="C96" s="178" t="s">
        <v>183</v>
      </c>
      <c r="D96" s="179"/>
      <c r="E96" s="178" t="s">
        <v>46</v>
      </c>
      <c r="F96" s="179"/>
      <c r="G96" s="179"/>
      <c r="H96" s="179"/>
      <c r="I96" s="179"/>
      <c r="J96" s="182">
        <v>0</v>
      </c>
      <c r="K96" s="179"/>
      <c r="L96" s="179"/>
      <c r="M96" s="179"/>
      <c r="N96" s="179"/>
      <c r="O96" s="179"/>
      <c r="P96" s="179"/>
      <c r="Q96" s="179"/>
      <c r="R96" s="179"/>
      <c r="S96" s="177" t="s">
        <v>469</v>
      </c>
    </row>
    <row r="97" spans="1:19" ht="22.5" customHeight="1" thickBot="1" x14ac:dyDescent="0.25">
      <c r="A97" s="195">
        <v>96</v>
      </c>
      <c r="B97" s="171" t="s">
        <v>470</v>
      </c>
      <c r="C97" s="196" t="s">
        <v>153</v>
      </c>
      <c r="D97" s="169"/>
      <c r="E97" s="196" t="s">
        <v>54</v>
      </c>
      <c r="F97" s="169"/>
      <c r="G97" s="169"/>
      <c r="H97" s="169"/>
      <c r="I97" s="169"/>
      <c r="J97" s="172">
        <v>0</v>
      </c>
      <c r="K97" s="169"/>
      <c r="L97" s="169"/>
      <c r="M97" s="169"/>
      <c r="N97" s="169"/>
      <c r="O97" s="169"/>
      <c r="P97" s="169"/>
      <c r="Q97" s="169"/>
      <c r="R97" s="169"/>
      <c r="S97" s="167" t="s">
        <v>471</v>
      </c>
    </row>
    <row r="98" spans="1:19" ht="22.5" customHeight="1" thickBot="1" x14ac:dyDescent="0.25">
      <c r="A98" s="194">
        <v>97</v>
      </c>
      <c r="B98" s="210" t="s">
        <v>472</v>
      </c>
      <c r="C98" s="179"/>
      <c r="D98" s="179"/>
      <c r="E98" s="179"/>
      <c r="F98" s="179"/>
      <c r="G98" s="179"/>
      <c r="H98" s="179"/>
      <c r="I98" s="179"/>
      <c r="J98" s="182">
        <v>0</v>
      </c>
      <c r="K98" s="179"/>
      <c r="L98" s="179"/>
      <c r="M98" s="179"/>
      <c r="N98" s="179"/>
      <c r="O98" s="179"/>
      <c r="P98" s="179"/>
      <c r="Q98" s="179"/>
      <c r="R98" s="179"/>
      <c r="S98" s="179"/>
    </row>
    <row r="99" spans="1:19" ht="12.75" x14ac:dyDescent="0.2">
      <c r="P99" s="9"/>
    </row>
    <row r="100" spans="1:19" ht="12.75" x14ac:dyDescent="0.2">
      <c r="P100" s="9"/>
    </row>
    <row r="101" spans="1:19" ht="12.75" x14ac:dyDescent="0.2">
      <c r="P101" s="9"/>
    </row>
    <row r="102" spans="1:19" ht="12.75" x14ac:dyDescent="0.2">
      <c r="P102" s="9"/>
    </row>
    <row r="103" spans="1:19" ht="12.75" x14ac:dyDescent="0.2">
      <c r="P103" s="9"/>
    </row>
    <row r="104" spans="1:19" ht="12.75" x14ac:dyDescent="0.2">
      <c r="P104" s="9"/>
    </row>
    <row r="105" spans="1:19" ht="12.75" x14ac:dyDescent="0.2">
      <c r="P105" s="9"/>
    </row>
    <row r="106" spans="1:19" ht="12.75" x14ac:dyDescent="0.2">
      <c r="P106" s="9"/>
    </row>
    <row r="107" spans="1:19" ht="12.75" x14ac:dyDescent="0.2">
      <c r="P107" s="9"/>
    </row>
    <row r="108" spans="1:19" ht="12.75" x14ac:dyDescent="0.2">
      <c r="P108" s="9"/>
    </row>
    <row r="109" spans="1:19" ht="12.75" x14ac:dyDescent="0.2">
      <c r="P109" s="9"/>
    </row>
    <row r="110" spans="1:19" ht="12.75" x14ac:dyDescent="0.2">
      <c r="P110" s="9"/>
    </row>
    <row r="111" spans="1:19" ht="12.75" x14ac:dyDescent="0.2">
      <c r="P111" s="9"/>
    </row>
    <row r="112" spans="1:19" ht="12.75" x14ac:dyDescent="0.2">
      <c r="P112" s="9"/>
    </row>
    <row r="113" spans="16:16" ht="12.75" x14ac:dyDescent="0.2">
      <c r="P113" s="9"/>
    </row>
    <row r="114" spans="16:16" ht="12.75" x14ac:dyDescent="0.2">
      <c r="P114" s="9"/>
    </row>
    <row r="115" spans="16:16" ht="12.75" x14ac:dyDescent="0.2">
      <c r="P115" s="9"/>
    </row>
    <row r="116" spans="16:16" ht="12.75" x14ac:dyDescent="0.2">
      <c r="P116" s="9"/>
    </row>
    <row r="117" spans="16:16" ht="12.75" x14ac:dyDescent="0.2">
      <c r="P117" s="9"/>
    </row>
    <row r="118" spans="16:16" ht="12.75" x14ac:dyDescent="0.2">
      <c r="P118" s="9"/>
    </row>
    <row r="119" spans="16:16" ht="12.75" x14ac:dyDescent="0.2">
      <c r="P119" s="9"/>
    </row>
    <row r="120" spans="16:16" ht="12.75" x14ac:dyDescent="0.2">
      <c r="P120" s="9"/>
    </row>
    <row r="121" spans="16:16" ht="12.75" x14ac:dyDescent="0.2">
      <c r="P121" s="9"/>
    </row>
    <row r="122" spans="16:16" ht="12.75" x14ac:dyDescent="0.2">
      <c r="P122" s="9"/>
    </row>
    <row r="123" spans="16:16" ht="12.75" x14ac:dyDescent="0.2">
      <c r="P123" s="9"/>
    </row>
    <row r="124" spans="16:16" ht="12.75" x14ac:dyDescent="0.2">
      <c r="P124" s="9"/>
    </row>
    <row r="125" spans="16:16" ht="12.75" x14ac:dyDescent="0.2">
      <c r="P125" s="9"/>
    </row>
    <row r="126" spans="16:16" ht="12.75" x14ac:dyDescent="0.2">
      <c r="P126" s="9"/>
    </row>
    <row r="127" spans="16:16" ht="12.75" x14ac:dyDescent="0.2">
      <c r="P127" s="9"/>
    </row>
    <row r="128" spans="16:16" ht="12.75" x14ac:dyDescent="0.2">
      <c r="P128" s="9"/>
    </row>
    <row r="129" spans="16:16" ht="12.75" x14ac:dyDescent="0.2">
      <c r="P129" s="9"/>
    </row>
    <row r="130" spans="16:16" ht="12.75" x14ac:dyDescent="0.2">
      <c r="P130" s="9"/>
    </row>
    <row r="131" spans="16:16" ht="12.75" x14ac:dyDescent="0.2">
      <c r="P131" s="9"/>
    </row>
    <row r="132" spans="16:16" ht="12.75" x14ac:dyDescent="0.2">
      <c r="P132" s="9"/>
    </row>
    <row r="133" spans="16:16" ht="12.75" x14ac:dyDescent="0.2">
      <c r="P133" s="9"/>
    </row>
    <row r="134" spans="16:16" ht="12.75" x14ac:dyDescent="0.2">
      <c r="P134" s="9"/>
    </row>
    <row r="135" spans="16:16" ht="12.75" x14ac:dyDescent="0.2">
      <c r="P135" s="9"/>
    </row>
    <row r="136" spans="16:16" ht="12.75" x14ac:dyDescent="0.2">
      <c r="P136" s="9"/>
    </row>
    <row r="137" spans="16:16" ht="12.75" x14ac:dyDescent="0.2">
      <c r="P137" s="9"/>
    </row>
    <row r="138" spans="16:16" ht="12.75" x14ac:dyDescent="0.2">
      <c r="P138" s="9"/>
    </row>
    <row r="139" spans="16:16" ht="12.75" x14ac:dyDescent="0.2">
      <c r="P139" s="9"/>
    </row>
    <row r="140" spans="16:16" ht="12.75" x14ac:dyDescent="0.2">
      <c r="P140" s="9"/>
    </row>
    <row r="141" spans="16:16" ht="12.75" x14ac:dyDescent="0.2">
      <c r="P141" s="9"/>
    </row>
    <row r="142" spans="16:16" ht="12.75" x14ac:dyDescent="0.2">
      <c r="P142" s="9"/>
    </row>
    <row r="143" spans="16:16" ht="12.75" x14ac:dyDescent="0.2">
      <c r="P143" s="9"/>
    </row>
    <row r="144" spans="16:16" ht="12.75" x14ac:dyDescent="0.2">
      <c r="P144" s="9"/>
    </row>
    <row r="145" spans="16:16" ht="12.75" x14ac:dyDescent="0.2">
      <c r="P145" s="9"/>
    </row>
    <row r="146" spans="16:16" ht="12.75" x14ac:dyDescent="0.2">
      <c r="P146" s="9"/>
    </row>
    <row r="147" spans="16:16" ht="12.75" x14ac:dyDescent="0.2">
      <c r="P147" s="9"/>
    </row>
    <row r="148" spans="16:16" ht="12.75" x14ac:dyDescent="0.2">
      <c r="P148" s="9"/>
    </row>
    <row r="149" spans="16:16" ht="12.75" x14ac:dyDescent="0.2">
      <c r="P149" s="9"/>
    </row>
    <row r="150" spans="16:16" ht="12.75" x14ac:dyDescent="0.2">
      <c r="P150" s="9"/>
    </row>
    <row r="151" spans="16:16" ht="12.75" x14ac:dyDescent="0.2">
      <c r="P151" s="9"/>
    </row>
    <row r="152" spans="16:16" ht="12.75" x14ac:dyDescent="0.2">
      <c r="P152" s="9"/>
    </row>
    <row r="153" spans="16:16" ht="12.75" x14ac:dyDescent="0.2">
      <c r="P153" s="9"/>
    </row>
    <row r="154" spans="16:16" ht="12.75" x14ac:dyDescent="0.2">
      <c r="P154" s="9"/>
    </row>
    <row r="155" spans="16:16" ht="12.75" x14ac:dyDescent="0.2">
      <c r="P155" s="9"/>
    </row>
    <row r="156" spans="16:16" ht="12.75" x14ac:dyDescent="0.2">
      <c r="P156" s="9"/>
    </row>
    <row r="157" spans="16:16" ht="12.75" x14ac:dyDescent="0.2">
      <c r="P157" s="9"/>
    </row>
    <row r="158" spans="16:16" ht="12.75" x14ac:dyDescent="0.2">
      <c r="P158" s="9"/>
    </row>
    <row r="159" spans="16:16" ht="12.75" x14ac:dyDescent="0.2">
      <c r="P159" s="9"/>
    </row>
    <row r="160" spans="16:16" ht="12.75" x14ac:dyDescent="0.2">
      <c r="P160" s="9"/>
    </row>
    <row r="161" spans="16:16" ht="12.75" x14ac:dyDescent="0.2">
      <c r="P161" s="9"/>
    </row>
    <row r="162" spans="16:16" ht="12.75" x14ac:dyDescent="0.2">
      <c r="P162" s="9"/>
    </row>
    <row r="163" spans="16:16" ht="12.75" x14ac:dyDescent="0.2">
      <c r="P163" s="9"/>
    </row>
    <row r="164" spans="16:16" ht="12.75" x14ac:dyDescent="0.2">
      <c r="P164" s="9"/>
    </row>
    <row r="165" spans="16:16" ht="12.75" x14ac:dyDescent="0.2">
      <c r="P165" s="9"/>
    </row>
    <row r="166" spans="16:16" ht="12.75" x14ac:dyDescent="0.2">
      <c r="P166" s="9"/>
    </row>
    <row r="167" spans="16:16" ht="12.75" x14ac:dyDescent="0.2">
      <c r="P167" s="9"/>
    </row>
    <row r="168" spans="16:16" ht="12.75" x14ac:dyDescent="0.2">
      <c r="P168" s="9"/>
    </row>
    <row r="169" spans="16:16" ht="12.75" x14ac:dyDescent="0.2">
      <c r="P169" s="9"/>
    </row>
    <row r="170" spans="16:16" ht="12.75" x14ac:dyDescent="0.2">
      <c r="P170" s="9"/>
    </row>
    <row r="171" spans="16:16" ht="12.75" x14ac:dyDescent="0.2">
      <c r="P171" s="9"/>
    </row>
    <row r="172" spans="16:16" ht="12.75" x14ac:dyDescent="0.2">
      <c r="P172" s="9"/>
    </row>
    <row r="173" spans="16:16" ht="12.75" x14ac:dyDescent="0.2">
      <c r="P173" s="9"/>
    </row>
    <row r="174" spans="16:16" ht="12.75" x14ac:dyDescent="0.2">
      <c r="P174" s="9"/>
    </row>
    <row r="175" spans="16:16" ht="12.75" x14ac:dyDescent="0.2">
      <c r="P175" s="9"/>
    </row>
    <row r="176" spans="16:16" ht="12.75" x14ac:dyDescent="0.2">
      <c r="P176" s="9"/>
    </row>
    <row r="177" spans="16:16" ht="12.75" x14ac:dyDescent="0.2">
      <c r="P177" s="9"/>
    </row>
    <row r="178" spans="16:16" ht="12.75" x14ac:dyDescent="0.2">
      <c r="P178" s="9"/>
    </row>
    <row r="179" spans="16:16" ht="12.75" x14ac:dyDescent="0.2">
      <c r="P179" s="9"/>
    </row>
    <row r="180" spans="16:16" ht="12.75" x14ac:dyDescent="0.2">
      <c r="P180" s="9"/>
    </row>
    <row r="181" spans="16:16" ht="12.75" x14ac:dyDescent="0.2">
      <c r="P181" s="9"/>
    </row>
    <row r="182" spans="16:16" ht="12.75" x14ac:dyDescent="0.2">
      <c r="P182" s="9"/>
    </row>
    <row r="183" spans="16:16" ht="12.75" x14ac:dyDescent="0.2">
      <c r="P183" s="9"/>
    </row>
    <row r="184" spans="16:16" ht="12.75" x14ac:dyDescent="0.2">
      <c r="P184" s="9"/>
    </row>
    <row r="185" spans="16:16" ht="12.75" x14ac:dyDescent="0.2">
      <c r="P185" s="9"/>
    </row>
    <row r="186" spans="16:16" ht="12.75" x14ac:dyDescent="0.2">
      <c r="P186" s="9"/>
    </row>
    <row r="187" spans="16:16" ht="12.75" x14ac:dyDescent="0.2">
      <c r="P187" s="9"/>
    </row>
    <row r="188" spans="16:16" ht="12.75" x14ac:dyDescent="0.2">
      <c r="P188" s="9"/>
    </row>
    <row r="189" spans="16:16" ht="12.75" x14ac:dyDescent="0.2">
      <c r="P189" s="9"/>
    </row>
    <row r="190" spans="16:16" ht="12.75" x14ac:dyDescent="0.2">
      <c r="P190" s="9"/>
    </row>
    <row r="191" spans="16:16" ht="12.75" x14ac:dyDescent="0.2">
      <c r="P191" s="9"/>
    </row>
    <row r="192" spans="16:16" ht="12.75" x14ac:dyDescent="0.2">
      <c r="P192" s="9"/>
    </row>
    <row r="193" spans="16:16" ht="12.75" x14ac:dyDescent="0.2">
      <c r="P193" s="9"/>
    </row>
    <row r="194" spans="16:16" ht="12.75" x14ac:dyDescent="0.2">
      <c r="P194" s="9"/>
    </row>
    <row r="195" spans="16:16" ht="12.75" x14ac:dyDescent="0.2">
      <c r="P195" s="9"/>
    </row>
    <row r="196" spans="16:16" ht="12.75" x14ac:dyDescent="0.2">
      <c r="P196" s="9"/>
    </row>
    <row r="197" spans="16:16" ht="12.75" x14ac:dyDescent="0.2">
      <c r="P197" s="9"/>
    </row>
    <row r="198" spans="16:16" ht="12.75" x14ac:dyDescent="0.2">
      <c r="P198" s="9"/>
    </row>
    <row r="199" spans="16:16" ht="12.75" x14ac:dyDescent="0.2">
      <c r="P199" s="9"/>
    </row>
    <row r="200" spans="16:16" ht="12.75" x14ac:dyDescent="0.2">
      <c r="P200" s="9"/>
    </row>
    <row r="201" spans="16:16" ht="12.75" x14ac:dyDescent="0.2">
      <c r="P201" s="9"/>
    </row>
    <row r="202" spans="16:16" ht="12.75" x14ac:dyDescent="0.2">
      <c r="P202" s="9"/>
    </row>
    <row r="203" spans="16:16" ht="12.75" x14ac:dyDescent="0.2">
      <c r="P203" s="9"/>
    </row>
    <row r="204" spans="16:16" ht="12.75" x14ac:dyDescent="0.2">
      <c r="P204" s="9"/>
    </row>
    <row r="205" spans="16:16" ht="12.75" x14ac:dyDescent="0.2">
      <c r="P205" s="9"/>
    </row>
    <row r="206" spans="16:16" ht="12.75" x14ac:dyDescent="0.2">
      <c r="P206" s="9"/>
    </row>
    <row r="207" spans="16:16" ht="12.75" x14ac:dyDescent="0.2">
      <c r="P207" s="9"/>
    </row>
    <row r="208" spans="16:16" ht="12.75" x14ac:dyDescent="0.2">
      <c r="P208" s="9"/>
    </row>
    <row r="209" spans="16:16" ht="12.75" x14ac:dyDescent="0.2">
      <c r="P209" s="9"/>
    </row>
    <row r="210" spans="16:16" ht="12.75" x14ac:dyDescent="0.2">
      <c r="P210" s="9"/>
    </row>
    <row r="211" spans="16:16" ht="12.75" x14ac:dyDescent="0.2">
      <c r="P211" s="9"/>
    </row>
    <row r="212" spans="16:16" ht="12.75" x14ac:dyDescent="0.2">
      <c r="P212" s="9"/>
    </row>
    <row r="213" spans="16:16" ht="12.75" x14ac:dyDescent="0.2">
      <c r="P213" s="9"/>
    </row>
    <row r="214" spans="16:16" ht="12.75" x14ac:dyDescent="0.2">
      <c r="P214" s="9"/>
    </row>
    <row r="215" spans="16:16" ht="12.75" x14ac:dyDescent="0.2">
      <c r="P215" s="9"/>
    </row>
    <row r="216" spans="16:16" ht="12.75" x14ac:dyDescent="0.2">
      <c r="P216" s="9"/>
    </row>
    <row r="217" spans="16:16" ht="12.75" x14ac:dyDescent="0.2">
      <c r="P217" s="9"/>
    </row>
    <row r="218" spans="16:16" ht="12.75" x14ac:dyDescent="0.2">
      <c r="P218" s="9"/>
    </row>
    <row r="219" spans="16:16" ht="12.75" x14ac:dyDescent="0.2">
      <c r="P219" s="9"/>
    </row>
    <row r="220" spans="16:16" ht="12.75" x14ac:dyDescent="0.2">
      <c r="P220" s="9"/>
    </row>
    <row r="221" spans="16:16" ht="12.75" x14ac:dyDescent="0.2">
      <c r="P221" s="9"/>
    </row>
    <row r="222" spans="16:16" ht="12.75" x14ac:dyDescent="0.2">
      <c r="P222" s="9"/>
    </row>
    <row r="223" spans="16:16" ht="12.75" x14ac:dyDescent="0.2">
      <c r="P223" s="9"/>
    </row>
    <row r="224" spans="16:16" ht="12.75" x14ac:dyDescent="0.2">
      <c r="P224" s="9"/>
    </row>
    <row r="225" spans="16:16" ht="12.75" x14ac:dyDescent="0.2">
      <c r="P225" s="9"/>
    </row>
    <row r="226" spans="16:16" ht="12.75" x14ac:dyDescent="0.2">
      <c r="P226" s="9"/>
    </row>
    <row r="227" spans="16:16" ht="12.75" x14ac:dyDescent="0.2">
      <c r="P227" s="9"/>
    </row>
    <row r="228" spans="16:16" ht="12.75" x14ac:dyDescent="0.2">
      <c r="P228" s="9"/>
    </row>
    <row r="229" spans="16:16" ht="12.75" x14ac:dyDescent="0.2">
      <c r="P229" s="9"/>
    </row>
    <row r="230" spans="16:16" ht="12.75" x14ac:dyDescent="0.2">
      <c r="P230" s="9"/>
    </row>
    <row r="231" spans="16:16" ht="12.75" x14ac:dyDescent="0.2">
      <c r="P231" s="9"/>
    </row>
    <row r="232" spans="16:16" ht="12.75" x14ac:dyDescent="0.2">
      <c r="P232" s="9"/>
    </row>
    <row r="233" spans="16:16" ht="12.75" x14ac:dyDescent="0.2">
      <c r="P233" s="9"/>
    </row>
    <row r="234" spans="16:16" ht="12.75" x14ac:dyDescent="0.2">
      <c r="P234" s="9"/>
    </row>
    <row r="235" spans="16:16" ht="12.75" x14ac:dyDescent="0.2">
      <c r="P235" s="9"/>
    </row>
    <row r="236" spans="16:16" ht="12.75" x14ac:dyDescent="0.2">
      <c r="P236" s="9"/>
    </row>
    <row r="237" spans="16:16" ht="12.75" x14ac:dyDescent="0.2">
      <c r="P237" s="9"/>
    </row>
    <row r="238" spans="16:16" ht="12.75" x14ac:dyDescent="0.2">
      <c r="P238" s="9"/>
    </row>
    <row r="239" spans="16:16" ht="12.75" x14ac:dyDescent="0.2">
      <c r="P239" s="9"/>
    </row>
    <row r="240" spans="16:16" ht="12.75" x14ac:dyDescent="0.2">
      <c r="P240" s="9"/>
    </row>
    <row r="241" spans="16:16" ht="12.75" x14ac:dyDescent="0.2">
      <c r="P241" s="9"/>
    </row>
    <row r="242" spans="16:16" ht="12.75" x14ac:dyDescent="0.2">
      <c r="P242" s="9"/>
    </row>
    <row r="243" spans="16:16" ht="12.75" x14ac:dyDescent="0.2">
      <c r="P243" s="9"/>
    </row>
    <row r="244" spans="16:16" ht="12.75" x14ac:dyDescent="0.2">
      <c r="P244" s="9"/>
    </row>
    <row r="245" spans="16:16" ht="12.75" x14ac:dyDescent="0.2">
      <c r="P245" s="9"/>
    </row>
    <row r="246" spans="16:16" ht="12.75" x14ac:dyDescent="0.2">
      <c r="P246" s="9"/>
    </row>
    <row r="247" spans="16:16" ht="12.75" x14ac:dyDescent="0.2">
      <c r="P247" s="9"/>
    </row>
    <row r="248" spans="16:16" ht="12.75" x14ac:dyDescent="0.2">
      <c r="P248" s="9"/>
    </row>
    <row r="249" spans="16:16" ht="12.75" x14ac:dyDescent="0.2">
      <c r="P249" s="9"/>
    </row>
    <row r="250" spans="16:16" ht="12.75" x14ac:dyDescent="0.2">
      <c r="P250" s="9"/>
    </row>
    <row r="251" spans="16:16" ht="12.75" x14ac:dyDescent="0.2">
      <c r="P251" s="9"/>
    </row>
    <row r="252" spans="16:16" ht="12.75" x14ac:dyDescent="0.2">
      <c r="P252" s="9"/>
    </row>
    <row r="253" spans="16:16" ht="12.75" x14ac:dyDescent="0.2">
      <c r="P253" s="9"/>
    </row>
    <row r="254" spans="16:16" ht="12.75" x14ac:dyDescent="0.2">
      <c r="P254" s="9"/>
    </row>
    <row r="255" spans="16:16" ht="12.75" x14ac:dyDescent="0.2">
      <c r="P255" s="9"/>
    </row>
    <row r="256" spans="16:16" ht="12.75" x14ac:dyDescent="0.2">
      <c r="P256" s="9"/>
    </row>
    <row r="257" spans="16:16" ht="12.75" x14ac:dyDescent="0.2">
      <c r="P257" s="9"/>
    </row>
    <row r="258" spans="16:16" ht="12.75" x14ac:dyDescent="0.2">
      <c r="P258" s="9"/>
    </row>
    <row r="259" spans="16:16" ht="12.75" x14ac:dyDescent="0.2">
      <c r="P259" s="9"/>
    </row>
    <row r="260" spans="16:16" ht="12.75" x14ac:dyDescent="0.2">
      <c r="P260" s="9"/>
    </row>
    <row r="261" spans="16:16" ht="12.75" x14ac:dyDescent="0.2">
      <c r="P261" s="9"/>
    </row>
    <row r="262" spans="16:16" ht="12.75" x14ac:dyDescent="0.2">
      <c r="P262" s="9"/>
    </row>
    <row r="263" spans="16:16" ht="12.75" x14ac:dyDescent="0.2">
      <c r="P263" s="9"/>
    </row>
    <row r="264" spans="16:16" ht="12.75" x14ac:dyDescent="0.2">
      <c r="P264" s="9"/>
    </row>
    <row r="265" spans="16:16" ht="12.75" x14ac:dyDescent="0.2">
      <c r="P265" s="9"/>
    </row>
    <row r="266" spans="16:16" ht="12.75" x14ac:dyDescent="0.2">
      <c r="P266" s="9"/>
    </row>
    <row r="267" spans="16:16" ht="12.75" x14ac:dyDescent="0.2">
      <c r="P267" s="9"/>
    </row>
    <row r="268" spans="16:16" ht="12.75" x14ac:dyDescent="0.2">
      <c r="P268" s="9"/>
    </row>
    <row r="269" spans="16:16" ht="12.75" x14ac:dyDescent="0.2">
      <c r="P269" s="9"/>
    </row>
    <row r="270" spans="16:16" ht="12.75" x14ac:dyDescent="0.2">
      <c r="P270" s="9"/>
    </row>
    <row r="271" spans="16:16" ht="12.75" x14ac:dyDescent="0.2">
      <c r="P271" s="9"/>
    </row>
    <row r="272" spans="16:16" ht="12.75" x14ac:dyDescent="0.2">
      <c r="P272" s="9"/>
    </row>
    <row r="273" spans="16:16" ht="12.75" x14ac:dyDescent="0.2">
      <c r="P273" s="9"/>
    </row>
    <row r="274" spans="16:16" ht="12.75" x14ac:dyDescent="0.2">
      <c r="P274" s="9"/>
    </row>
    <row r="275" spans="16:16" ht="12.75" x14ac:dyDescent="0.2">
      <c r="P275" s="9"/>
    </row>
    <row r="276" spans="16:16" ht="12.75" x14ac:dyDescent="0.2">
      <c r="P276" s="9"/>
    </row>
    <row r="277" spans="16:16" ht="12.75" x14ac:dyDescent="0.2">
      <c r="P277" s="9"/>
    </row>
    <row r="278" spans="16:16" ht="12.75" x14ac:dyDescent="0.2">
      <c r="P278" s="9"/>
    </row>
    <row r="279" spans="16:16" ht="12.75" x14ac:dyDescent="0.2">
      <c r="P279" s="9"/>
    </row>
    <row r="280" spans="16:16" ht="12.75" x14ac:dyDescent="0.2">
      <c r="P280" s="9"/>
    </row>
    <row r="281" spans="16:16" ht="12.75" x14ac:dyDescent="0.2">
      <c r="P281" s="9"/>
    </row>
    <row r="282" spans="16:16" ht="12.75" x14ac:dyDescent="0.2">
      <c r="P282" s="9"/>
    </row>
    <row r="283" spans="16:16" ht="12.75" x14ac:dyDescent="0.2">
      <c r="P283" s="9"/>
    </row>
    <row r="284" spans="16:16" ht="12.75" x14ac:dyDescent="0.2">
      <c r="P284" s="9"/>
    </row>
    <row r="285" spans="16:16" ht="12.75" x14ac:dyDescent="0.2">
      <c r="P285" s="9"/>
    </row>
    <row r="286" spans="16:16" ht="12.75" x14ac:dyDescent="0.2">
      <c r="P286" s="9"/>
    </row>
    <row r="287" spans="16:16" ht="12.75" x14ac:dyDescent="0.2">
      <c r="P287" s="9"/>
    </row>
    <row r="288" spans="16:16" ht="12.75" x14ac:dyDescent="0.2">
      <c r="P288" s="9"/>
    </row>
    <row r="289" spans="16:16" ht="12.75" x14ac:dyDescent="0.2">
      <c r="P289" s="9"/>
    </row>
    <row r="290" spans="16:16" ht="12.75" x14ac:dyDescent="0.2">
      <c r="P290" s="9"/>
    </row>
    <row r="291" spans="16:16" ht="12.75" x14ac:dyDescent="0.2">
      <c r="P291" s="9"/>
    </row>
    <row r="292" spans="16:16" ht="12.75" x14ac:dyDescent="0.2">
      <c r="P292" s="9"/>
    </row>
    <row r="293" spans="16:16" ht="12.75" x14ac:dyDescent="0.2">
      <c r="P293" s="9"/>
    </row>
    <row r="294" spans="16:16" ht="12.75" x14ac:dyDescent="0.2">
      <c r="P294" s="9"/>
    </row>
    <row r="295" spans="16:16" ht="12.75" x14ac:dyDescent="0.2">
      <c r="P295" s="9"/>
    </row>
    <row r="296" spans="16:16" ht="12.75" x14ac:dyDescent="0.2">
      <c r="P296" s="9"/>
    </row>
    <row r="297" spans="16:16" ht="12.75" x14ac:dyDescent="0.2">
      <c r="P297" s="9"/>
    </row>
    <row r="298" spans="16:16" ht="12.75" x14ac:dyDescent="0.2">
      <c r="P298" s="9"/>
    </row>
    <row r="299" spans="16:16" ht="12.75" x14ac:dyDescent="0.2">
      <c r="P299" s="9"/>
    </row>
    <row r="300" spans="16:16" ht="12.75" x14ac:dyDescent="0.2">
      <c r="P300" s="9"/>
    </row>
    <row r="301" spans="16:16" ht="12.75" x14ac:dyDescent="0.2">
      <c r="P301" s="9"/>
    </row>
    <row r="302" spans="16:16" ht="12.75" x14ac:dyDescent="0.2">
      <c r="P302" s="9"/>
    </row>
    <row r="303" spans="16:16" ht="12.75" x14ac:dyDescent="0.2">
      <c r="P303" s="9"/>
    </row>
    <row r="304" spans="16:16" ht="12.75" x14ac:dyDescent="0.2">
      <c r="P304" s="9"/>
    </row>
    <row r="305" spans="16:16" ht="12.75" x14ac:dyDescent="0.2">
      <c r="P305" s="9"/>
    </row>
    <row r="306" spans="16:16" ht="12.75" x14ac:dyDescent="0.2">
      <c r="P306" s="9"/>
    </row>
    <row r="307" spans="16:16" ht="12.75" x14ac:dyDescent="0.2">
      <c r="P307" s="9"/>
    </row>
    <row r="308" spans="16:16" ht="12.75" x14ac:dyDescent="0.2">
      <c r="P308" s="9"/>
    </row>
    <row r="309" spans="16:16" ht="12.75" x14ac:dyDescent="0.2">
      <c r="P309" s="9"/>
    </row>
    <row r="310" spans="16:16" ht="12.75" x14ac:dyDescent="0.2">
      <c r="P310" s="9"/>
    </row>
    <row r="311" spans="16:16" ht="12.75" x14ac:dyDescent="0.2">
      <c r="P311" s="9"/>
    </row>
    <row r="312" spans="16:16" ht="12.75" x14ac:dyDescent="0.2">
      <c r="P312" s="9"/>
    </row>
    <row r="313" spans="16:16" ht="12.75" x14ac:dyDescent="0.2">
      <c r="P313" s="9"/>
    </row>
    <row r="314" spans="16:16" ht="12.75" x14ac:dyDescent="0.2">
      <c r="P314" s="9"/>
    </row>
    <row r="315" spans="16:16" ht="12.75" x14ac:dyDescent="0.2">
      <c r="P315" s="9"/>
    </row>
    <row r="316" spans="16:16" ht="12.75" x14ac:dyDescent="0.2">
      <c r="P316" s="9"/>
    </row>
    <row r="317" spans="16:16" ht="12.75" x14ac:dyDescent="0.2">
      <c r="P317" s="9"/>
    </row>
    <row r="318" spans="16:16" ht="12.75" x14ac:dyDescent="0.2">
      <c r="P318" s="9"/>
    </row>
    <row r="319" spans="16:16" ht="12.75" x14ac:dyDescent="0.2">
      <c r="P319" s="9"/>
    </row>
    <row r="320" spans="16:16" ht="12.75" x14ac:dyDescent="0.2">
      <c r="P320" s="9"/>
    </row>
    <row r="321" spans="16:16" ht="12.75" x14ac:dyDescent="0.2">
      <c r="P321" s="9"/>
    </row>
    <row r="322" spans="16:16" ht="12.75" x14ac:dyDescent="0.2">
      <c r="P322" s="9"/>
    </row>
    <row r="323" spans="16:16" ht="12.75" x14ac:dyDescent="0.2">
      <c r="P323" s="9"/>
    </row>
    <row r="324" spans="16:16" ht="12.75" x14ac:dyDescent="0.2">
      <c r="P324" s="9"/>
    </row>
    <row r="325" spans="16:16" ht="12.75" x14ac:dyDescent="0.2">
      <c r="P325" s="9"/>
    </row>
    <row r="326" spans="16:16" ht="12.75" x14ac:dyDescent="0.2">
      <c r="P326" s="9"/>
    </row>
    <row r="327" spans="16:16" ht="12.75" x14ac:dyDescent="0.2">
      <c r="P327" s="9"/>
    </row>
    <row r="328" spans="16:16" ht="12.75" x14ac:dyDescent="0.2">
      <c r="P328" s="9"/>
    </row>
    <row r="329" spans="16:16" ht="12.75" x14ac:dyDescent="0.2">
      <c r="P329" s="9"/>
    </row>
    <row r="330" spans="16:16" ht="12.75" x14ac:dyDescent="0.2">
      <c r="P330" s="9"/>
    </row>
    <row r="331" spans="16:16" ht="12.75" x14ac:dyDescent="0.2">
      <c r="P331" s="9"/>
    </row>
    <row r="332" spans="16:16" ht="12.75" x14ac:dyDescent="0.2">
      <c r="P332" s="9"/>
    </row>
    <row r="333" spans="16:16" ht="12.75" x14ac:dyDescent="0.2">
      <c r="P333" s="9"/>
    </row>
    <row r="334" spans="16:16" ht="12.75" x14ac:dyDescent="0.2">
      <c r="P334" s="9"/>
    </row>
    <row r="335" spans="16:16" ht="12.75" x14ac:dyDescent="0.2">
      <c r="P335" s="9"/>
    </row>
    <row r="336" spans="16:16" ht="12.75" x14ac:dyDescent="0.2">
      <c r="P336" s="9"/>
    </row>
    <row r="337" spans="16:16" ht="12.75" x14ac:dyDescent="0.2">
      <c r="P337" s="9"/>
    </row>
    <row r="338" spans="16:16" ht="12.75" x14ac:dyDescent="0.2">
      <c r="P338" s="9"/>
    </row>
    <row r="339" spans="16:16" ht="12.75" x14ac:dyDescent="0.2">
      <c r="P339" s="9"/>
    </row>
    <row r="340" spans="16:16" ht="12.75" x14ac:dyDescent="0.2">
      <c r="P340" s="9"/>
    </row>
    <row r="341" spans="16:16" ht="12.75" x14ac:dyDescent="0.2">
      <c r="P341" s="9"/>
    </row>
    <row r="342" spans="16:16" ht="12.75" x14ac:dyDescent="0.2">
      <c r="P342" s="9"/>
    </row>
    <row r="343" spans="16:16" ht="12.75" x14ac:dyDescent="0.2">
      <c r="P343" s="9"/>
    </row>
    <row r="344" spans="16:16" ht="12.75" x14ac:dyDescent="0.2">
      <c r="P344" s="9"/>
    </row>
    <row r="345" spans="16:16" ht="12.75" x14ac:dyDescent="0.2">
      <c r="P345" s="9"/>
    </row>
    <row r="346" spans="16:16" ht="12.75" x14ac:dyDescent="0.2">
      <c r="P346" s="9"/>
    </row>
    <row r="347" spans="16:16" ht="12.75" x14ac:dyDescent="0.2">
      <c r="P347" s="9"/>
    </row>
    <row r="348" spans="16:16" ht="12.75" x14ac:dyDescent="0.2">
      <c r="P348" s="9"/>
    </row>
    <row r="349" spans="16:16" ht="12.75" x14ac:dyDescent="0.2">
      <c r="P349" s="9"/>
    </row>
    <row r="350" spans="16:16" ht="12.75" x14ac:dyDescent="0.2">
      <c r="P350" s="9"/>
    </row>
    <row r="351" spans="16:16" ht="12.75" x14ac:dyDescent="0.2">
      <c r="P351" s="9"/>
    </row>
    <row r="352" spans="16:16" ht="12.75" x14ac:dyDescent="0.2">
      <c r="P352" s="9"/>
    </row>
    <row r="353" spans="16:16" ht="12.75" x14ac:dyDescent="0.2">
      <c r="P353" s="9"/>
    </row>
    <row r="354" spans="16:16" ht="12.75" x14ac:dyDescent="0.2">
      <c r="P354" s="9"/>
    </row>
    <row r="355" spans="16:16" ht="12.75" x14ac:dyDescent="0.2">
      <c r="P355" s="9"/>
    </row>
    <row r="356" spans="16:16" ht="12.75" x14ac:dyDescent="0.2">
      <c r="P356" s="9"/>
    </row>
    <row r="357" spans="16:16" ht="12.75" x14ac:dyDescent="0.2">
      <c r="P357" s="9"/>
    </row>
    <row r="358" spans="16:16" ht="12.75" x14ac:dyDescent="0.2">
      <c r="P358" s="9"/>
    </row>
    <row r="359" spans="16:16" ht="12.75" x14ac:dyDescent="0.2">
      <c r="P359" s="9"/>
    </row>
    <row r="360" spans="16:16" ht="12.75" x14ac:dyDescent="0.2">
      <c r="P360" s="9"/>
    </row>
    <row r="361" spans="16:16" ht="12.75" x14ac:dyDescent="0.2">
      <c r="P361" s="9"/>
    </row>
    <row r="362" spans="16:16" ht="12.75" x14ac:dyDescent="0.2">
      <c r="P362" s="9"/>
    </row>
    <row r="363" spans="16:16" ht="12.75" x14ac:dyDescent="0.2">
      <c r="P363" s="9"/>
    </row>
    <row r="364" spans="16:16" ht="12.75" x14ac:dyDescent="0.2">
      <c r="P364" s="9"/>
    </row>
    <row r="365" spans="16:16" ht="12.75" x14ac:dyDescent="0.2">
      <c r="P365" s="9"/>
    </row>
    <row r="366" spans="16:16" ht="12.75" x14ac:dyDescent="0.2">
      <c r="P366" s="9"/>
    </row>
    <row r="367" spans="16:16" ht="12.75" x14ac:dyDescent="0.2">
      <c r="P367" s="9"/>
    </row>
    <row r="368" spans="16:16" ht="12.75" x14ac:dyDescent="0.2">
      <c r="P368" s="9"/>
    </row>
    <row r="369" spans="16:16" ht="12.75" x14ac:dyDescent="0.2">
      <c r="P369" s="9"/>
    </row>
    <row r="370" spans="16:16" ht="12.75" x14ac:dyDescent="0.2">
      <c r="P370" s="9"/>
    </row>
    <row r="371" spans="16:16" ht="12.75" x14ac:dyDescent="0.2">
      <c r="P371" s="9"/>
    </row>
    <row r="372" spans="16:16" ht="12.75" x14ac:dyDescent="0.2">
      <c r="P372" s="9"/>
    </row>
    <row r="373" spans="16:16" ht="12.75" x14ac:dyDescent="0.2">
      <c r="P373" s="9"/>
    </row>
    <row r="374" spans="16:16" ht="12.75" x14ac:dyDescent="0.2">
      <c r="P374" s="9"/>
    </row>
    <row r="375" spans="16:16" ht="12.75" x14ac:dyDescent="0.2">
      <c r="P375" s="9"/>
    </row>
    <row r="376" spans="16:16" ht="12.75" x14ac:dyDescent="0.2">
      <c r="P376" s="9"/>
    </row>
    <row r="377" spans="16:16" ht="12.75" x14ac:dyDescent="0.2">
      <c r="P377" s="9"/>
    </row>
    <row r="378" spans="16:16" ht="12.75" x14ac:dyDescent="0.2">
      <c r="P378" s="9"/>
    </row>
    <row r="379" spans="16:16" ht="12.75" x14ac:dyDescent="0.2">
      <c r="P379" s="9"/>
    </row>
    <row r="380" spans="16:16" ht="12.75" x14ac:dyDescent="0.2">
      <c r="P380" s="9"/>
    </row>
    <row r="381" spans="16:16" ht="12.75" x14ac:dyDescent="0.2">
      <c r="P381" s="9"/>
    </row>
    <row r="382" spans="16:16" ht="12.75" x14ac:dyDescent="0.2">
      <c r="P382" s="9"/>
    </row>
    <row r="383" spans="16:16" ht="12.75" x14ac:dyDescent="0.2">
      <c r="P383" s="9"/>
    </row>
    <row r="384" spans="16:16" ht="12.75" x14ac:dyDescent="0.2">
      <c r="P384" s="9"/>
    </row>
    <row r="385" spans="16:16" ht="12.75" x14ac:dyDescent="0.2">
      <c r="P385" s="9"/>
    </row>
    <row r="386" spans="16:16" ht="12.75" x14ac:dyDescent="0.2">
      <c r="P386" s="9"/>
    </row>
    <row r="387" spans="16:16" ht="12.75" x14ac:dyDescent="0.2">
      <c r="P387" s="9"/>
    </row>
    <row r="388" spans="16:16" ht="12.75" x14ac:dyDescent="0.2">
      <c r="P388" s="9"/>
    </row>
    <row r="389" spans="16:16" ht="12.75" x14ac:dyDescent="0.2">
      <c r="P389" s="9"/>
    </row>
    <row r="390" spans="16:16" ht="12.75" x14ac:dyDescent="0.2">
      <c r="P390" s="9"/>
    </row>
    <row r="391" spans="16:16" ht="12.75" x14ac:dyDescent="0.2">
      <c r="P391" s="9"/>
    </row>
    <row r="392" spans="16:16" ht="12.75" x14ac:dyDescent="0.2">
      <c r="P392" s="9"/>
    </row>
    <row r="393" spans="16:16" ht="12.75" x14ac:dyDescent="0.2">
      <c r="P393" s="9"/>
    </row>
    <row r="394" spans="16:16" ht="12.75" x14ac:dyDescent="0.2">
      <c r="P394" s="9"/>
    </row>
    <row r="395" spans="16:16" ht="12.75" x14ac:dyDescent="0.2">
      <c r="P395" s="9"/>
    </row>
    <row r="396" spans="16:16" ht="12.75" x14ac:dyDescent="0.2">
      <c r="P396" s="9"/>
    </row>
    <row r="397" spans="16:16" ht="12.75" x14ac:dyDescent="0.2">
      <c r="P397" s="9"/>
    </row>
    <row r="398" spans="16:16" ht="12.75" x14ac:dyDescent="0.2">
      <c r="P398" s="9"/>
    </row>
    <row r="399" spans="16:16" ht="12.75" x14ac:dyDescent="0.2">
      <c r="P399" s="9"/>
    </row>
    <row r="400" spans="16:16" ht="12.75" x14ac:dyDescent="0.2">
      <c r="P400" s="9"/>
    </row>
    <row r="401" spans="16:16" ht="12.75" x14ac:dyDescent="0.2">
      <c r="P401" s="9"/>
    </row>
    <row r="402" spans="16:16" ht="12.75" x14ac:dyDescent="0.2">
      <c r="P402" s="9"/>
    </row>
    <row r="403" spans="16:16" ht="12.75" x14ac:dyDescent="0.2">
      <c r="P403" s="9"/>
    </row>
    <row r="404" spans="16:16" ht="12.75" x14ac:dyDescent="0.2">
      <c r="P404" s="9"/>
    </row>
    <row r="405" spans="16:16" ht="12.75" x14ac:dyDescent="0.2">
      <c r="P405" s="9"/>
    </row>
    <row r="406" spans="16:16" ht="12.75" x14ac:dyDescent="0.2">
      <c r="P406" s="9"/>
    </row>
    <row r="407" spans="16:16" ht="12.75" x14ac:dyDescent="0.2">
      <c r="P407" s="9"/>
    </row>
    <row r="408" spans="16:16" ht="12.75" x14ac:dyDescent="0.2">
      <c r="P408" s="9"/>
    </row>
    <row r="409" spans="16:16" ht="12.75" x14ac:dyDescent="0.2">
      <c r="P409" s="9"/>
    </row>
    <row r="410" spans="16:16" ht="12.75" x14ac:dyDescent="0.2">
      <c r="P410" s="9"/>
    </row>
    <row r="411" spans="16:16" ht="12.75" x14ac:dyDescent="0.2">
      <c r="P411" s="9"/>
    </row>
    <row r="412" spans="16:16" ht="12.75" x14ac:dyDescent="0.2">
      <c r="P412" s="9"/>
    </row>
    <row r="413" spans="16:16" ht="12.75" x14ac:dyDescent="0.2">
      <c r="P413" s="9"/>
    </row>
    <row r="414" spans="16:16" ht="12.75" x14ac:dyDescent="0.2">
      <c r="P414" s="9"/>
    </row>
    <row r="415" spans="16:16" ht="12.75" x14ac:dyDescent="0.2">
      <c r="P415" s="9"/>
    </row>
    <row r="416" spans="16:16" ht="12.75" x14ac:dyDescent="0.2">
      <c r="P416" s="9"/>
    </row>
    <row r="417" spans="16:16" ht="12.75" x14ac:dyDescent="0.2">
      <c r="P417" s="9"/>
    </row>
    <row r="418" spans="16:16" ht="12.75" x14ac:dyDescent="0.2">
      <c r="P418" s="9"/>
    </row>
    <row r="419" spans="16:16" ht="12.75" x14ac:dyDescent="0.2">
      <c r="P419" s="9"/>
    </row>
    <row r="420" spans="16:16" ht="12.75" x14ac:dyDescent="0.2">
      <c r="P420" s="9"/>
    </row>
    <row r="421" spans="16:16" ht="12.75" x14ac:dyDescent="0.2">
      <c r="P421" s="9"/>
    </row>
    <row r="422" spans="16:16" ht="12.75" x14ac:dyDescent="0.2">
      <c r="P422" s="9"/>
    </row>
    <row r="423" spans="16:16" ht="12.75" x14ac:dyDescent="0.2">
      <c r="P423" s="9"/>
    </row>
    <row r="424" spans="16:16" ht="12.75" x14ac:dyDescent="0.2">
      <c r="P424" s="9"/>
    </row>
    <row r="425" spans="16:16" ht="12.75" x14ac:dyDescent="0.2">
      <c r="P425" s="9"/>
    </row>
    <row r="426" spans="16:16" ht="12.75" x14ac:dyDescent="0.2">
      <c r="P426" s="9"/>
    </row>
    <row r="427" spans="16:16" ht="12.75" x14ac:dyDescent="0.2">
      <c r="P427" s="9"/>
    </row>
    <row r="428" spans="16:16" ht="12.75" x14ac:dyDescent="0.2">
      <c r="P428" s="9"/>
    </row>
    <row r="429" spans="16:16" ht="12.75" x14ac:dyDescent="0.2">
      <c r="P429" s="9"/>
    </row>
    <row r="430" spans="16:16" ht="12.75" x14ac:dyDescent="0.2">
      <c r="P430" s="9"/>
    </row>
    <row r="431" spans="16:16" ht="12.75" x14ac:dyDescent="0.2">
      <c r="P431" s="9"/>
    </row>
    <row r="432" spans="16:16" ht="12.75" x14ac:dyDescent="0.2">
      <c r="P432" s="9"/>
    </row>
    <row r="433" spans="16:16" ht="12.75" x14ac:dyDescent="0.2">
      <c r="P433" s="9"/>
    </row>
    <row r="434" spans="16:16" ht="12.75" x14ac:dyDescent="0.2">
      <c r="P434" s="9"/>
    </row>
    <row r="435" spans="16:16" ht="12.75" x14ac:dyDescent="0.2">
      <c r="P435" s="9"/>
    </row>
    <row r="436" spans="16:16" ht="12.75" x14ac:dyDescent="0.2">
      <c r="P436" s="9"/>
    </row>
    <row r="437" spans="16:16" ht="12.75" x14ac:dyDescent="0.2">
      <c r="P437" s="9"/>
    </row>
    <row r="438" spans="16:16" ht="12.75" x14ac:dyDescent="0.2">
      <c r="P438" s="9"/>
    </row>
    <row r="439" spans="16:16" ht="12.75" x14ac:dyDescent="0.2">
      <c r="P439" s="9"/>
    </row>
    <row r="440" spans="16:16" ht="12.75" x14ac:dyDescent="0.2">
      <c r="P440" s="9"/>
    </row>
    <row r="441" spans="16:16" ht="12.75" x14ac:dyDescent="0.2">
      <c r="P441" s="9"/>
    </row>
    <row r="442" spans="16:16" ht="12.75" x14ac:dyDescent="0.2">
      <c r="P442" s="9"/>
    </row>
    <row r="443" spans="16:16" ht="12.75" x14ac:dyDescent="0.2">
      <c r="P443" s="9"/>
    </row>
    <row r="444" spans="16:16" ht="12.75" x14ac:dyDescent="0.2">
      <c r="P444" s="9"/>
    </row>
    <row r="445" spans="16:16" ht="12.75" x14ac:dyDescent="0.2">
      <c r="P445" s="9"/>
    </row>
    <row r="446" spans="16:16" ht="12.75" x14ac:dyDescent="0.2">
      <c r="P446" s="9"/>
    </row>
    <row r="447" spans="16:16" ht="12.75" x14ac:dyDescent="0.2">
      <c r="P447" s="9"/>
    </row>
    <row r="448" spans="16:16" ht="12.75" x14ac:dyDescent="0.2">
      <c r="P448" s="9"/>
    </row>
    <row r="449" spans="16:16" ht="12.75" x14ac:dyDescent="0.2">
      <c r="P449" s="9"/>
    </row>
    <row r="450" spans="16:16" ht="12.75" x14ac:dyDescent="0.2">
      <c r="P450" s="9"/>
    </row>
    <row r="451" spans="16:16" ht="12.75" x14ac:dyDescent="0.2">
      <c r="P451" s="9"/>
    </row>
    <row r="452" spans="16:16" ht="12.75" x14ac:dyDescent="0.2">
      <c r="P452" s="9"/>
    </row>
    <row r="453" spans="16:16" ht="12.75" x14ac:dyDescent="0.2">
      <c r="P453" s="9"/>
    </row>
    <row r="454" spans="16:16" ht="12.75" x14ac:dyDescent="0.2">
      <c r="P454" s="9"/>
    </row>
    <row r="455" spans="16:16" ht="12.75" x14ac:dyDescent="0.2">
      <c r="P455" s="9"/>
    </row>
    <row r="456" spans="16:16" ht="12.75" x14ac:dyDescent="0.2">
      <c r="P456" s="9"/>
    </row>
    <row r="457" spans="16:16" ht="12.75" x14ac:dyDescent="0.2">
      <c r="P457" s="9"/>
    </row>
    <row r="458" spans="16:16" ht="12.75" x14ac:dyDescent="0.2">
      <c r="P458" s="9"/>
    </row>
    <row r="459" spans="16:16" ht="12.75" x14ac:dyDescent="0.2">
      <c r="P459" s="9"/>
    </row>
    <row r="460" spans="16:16" ht="12.75" x14ac:dyDescent="0.2">
      <c r="P460" s="9"/>
    </row>
    <row r="461" spans="16:16" ht="12.75" x14ac:dyDescent="0.2">
      <c r="P461" s="9"/>
    </row>
    <row r="462" spans="16:16" ht="12.75" x14ac:dyDescent="0.2">
      <c r="P462" s="9"/>
    </row>
    <row r="463" spans="16:16" ht="12.75" x14ac:dyDescent="0.2">
      <c r="P463" s="9"/>
    </row>
    <row r="464" spans="16:16" ht="12.75" x14ac:dyDescent="0.2">
      <c r="P464" s="9"/>
    </row>
    <row r="465" spans="16:16" ht="12.75" x14ac:dyDescent="0.2">
      <c r="P465" s="9"/>
    </row>
    <row r="466" spans="16:16" ht="12.75" x14ac:dyDescent="0.2">
      <c r="P466" s="9"/>
    </row>
    <row r="467" spans="16:16" ht="12.75" x14ac:dyDescent="0.2">
      <c r="P467" s="9"/>
    </row>
    <row r="468" spans="16:16" ht="12.75" x14ac:dyDescent="0.2">
      <c r="P468" s="9"/>
    </row>
    <row r="469" spans="16:16" ht="12.75" x14ac:dyDescent="0.2">
      <c r="P469" s="9"/>
    </row>
    <row r="470" spans="16:16" ht="12.75" x14ac:dyDescent="0.2">
      <c r="P470" s="9"/>
    </row>
    <row r="471" spans="16:16" ht="12.75" x14ac:dyDescent="0.2">
      <c r="P471" s="9"/>
    </row>
    <row r="472" spans="16:16" ht="12.75" x14ac:dyDescent="0.2">
      <c r="P472" s="9"/>
    </row>
    <row r="473" spans="16:16" ht="12.75" x14ac:dyDescent="0.2">
      <c r="P473" s="9"/>
    </row>
    <row r="474" spans="16:16" ht="12.75" x14ac:dyDescent="0.2">
      <c r="P474" s="9"/>
    </row>
    <row r="475" spans="16:16" ht="12.75" x14ac:dyDescent="0.2">
      <c r="P475" s="9"/>
    </row>
    <row r="476" spans="16:16" ht="12.75" x14ac:dyDescent="0.2">
      <c r="P476" s="9"/>
    </row>
    <row r="477" spans="16:16" ht="12.75" x14ac:dyDescent="0.2">
      <c r="P477" s="9"/>
    </row>
    <row r="478" spans="16:16" ht="12.75" x14ac:dyDescent="0.2">
      <c r="P478" s="9"/>
    </row>
    <row r="479" spans="16:16" ht="12.75" x14ac:dyDescent="0.2">
      <c r="P479" s="9"/>
    </row>
    <row r="480" spans="16:16" ht="12.75" x14ac:dyDescent="0.2">
      <c r="P480" s="9"/>
    </row>
    <row r="481" spans="16:16" ht="12.75" x14ac:dyDescent="0.2">
      <c r="P481" s="9"/>
    </row>
    <row r="482" spans="16:16" ht="12.75" x14ac:dyDescent="0.2">
      <c r="P482" s="9"/>
    </row>
    <row r="483" spans="16:16" ht="12.75" x14ac:dyDescent="0.2">
      <c r="P483" s="9"/>
    </row>
    <row r="484" spans="16:16" ht="12.75" x14ac:dyDescent="0.2">
      <c r="P484" s="9"/>
    </row>
    <row r="485" spans="16:16" ht="12.75" x14ac:dyDescent="0.2">
      <c r="P485" s="9"/>
    </row>
    <row r="486" spans="16:16" ht="12.75" x14ac:dyDescent="0.2">
      <c r="P486" s="9"/>
    </row>
    <row r="487" spans="16:16" ht="12.75" x14ac:dyDescent="0.2">
      <c r="P487" s="9"/>
    </row>
    <row r="488" spans="16:16" ht="12.75" x14ac:dyDescent="0.2">
      <c r="P488" s="9"/>
    </row>
    <row r="489" spans="16:16" ht="12.75" x14ac:dyDescent="0.2">
      <c r="P489" s="9"/>
    </row>
    <row r="490" spans="16:16" ht="12.75" x14ac:dyDescent="0.2">
      <c r="P490" s="9"/>
    </row>
    <row r="491" spans="16:16" ht="12.75" x14ac:dyDescent="0.2">
      <c r="P491" s="9"/>
    </row>
    <row r="492" spans="16:16" ht="12.75" x14ac:dyDescent="0.2">
      <c r="P492" s="9"/>
    </row>
    <row r="493" spans="16:16" ht="12.75" x14ac:dyDescent="0.2">
      <c r="P493" s="9"/>
    </row>
    <row r="494" spans="16:16" ht="12.75" x14ac:dyDescent="0.2">
      <c r="P494" s="9"/>
    </row>
    <row r="495" spans="16:16" ht="12.75" x14ac:dyDescent="0.2">
      <c r="P495" s="9"/>
    </row>
    <row r="496" spans="16:16" ht="12.75" x14ac:dyDescent="0.2">
      <c r="P496" s="9"/>
    </row>
    <row r="497" spans="16:16" ht="12.75" x14ac:dyDescent="0.2">
      <c r="P497" s="9"/>
    </row>
    <row r="498" spans="16:16" ht="12.75" x14ac:dyDescent="0.2">
      <c r="P498" s="9"/>
    </row>
    <row r="499" spans="16:16" ht="12.75" x14ac:dyDescent="0.2">
      <c r="P499" s="9"/>
    </row>
    <row r="500" spans="16:16" ht="12.75" x14ac:dyDescent="0.2">
      <c r="P500" s="9"/>
    </row>
    <row r="501" spans="16:16" ht="12.75" x14ac:dyDescent="0.2">
      <c r="P501" s="9"/>
    </row>
    <row r="502" spans="16:16" ht="12.75" x14ac:dyDescent="0.2">
      <c r="P502" s="9"/>
    </row>
    <row r="503" spans="16:16" ht="12.75" x14ac:dyDescent="0.2">
      <c r="P503" s="9"/>
    </row>
    <row r="504" spans="16:16" ht="12.75" x14ac:dyDescent="0.2">
      <c r="P504" s="9"/>
    </row>
    <row r="505" spans="16:16" ht="12.75" x14ac:dyDescent="0.2">
      <c r="P505" s="9"/>
    </row>
    <row r="506" spans="16:16" ht="12.75" x14ac:dyDescent="0.2">
      <c r="P506" s="9"/>
    </row>
    <row r="507" spans="16:16" ht="12.75" x14ac:dyDescent="0.2">
      <c r="P507" s="9"/>
    </row>
    <row r="508" spans="16:16" ht="12.75" x14ac:dyDescent="0.2">
      <c r="P508" s="9"/>
    </row>
    <row r="509" spans="16:16" ht="12.75" x14ac:dyDescent="0.2">
      <c r="P509" s="9"/>
    </row>
    <row r="510" spans="16:16" ht="12.75" x14ac:dyDescent="0.2">
      <c r="P510" s="9"/>
    </row>
    <row r="511" spans="16:16" ht="12.75" x14ac:dyDescent="0.2">
      <c r="P511" s="9"/>
    </row>
    <row r="512" spans="16:16" ht="12.75" x14ac:dyDescent="0.2">
      <c r="P512" s="9"/>
    </row>
    <row r="513" spans="16:16" ht="12.75" x14ac:dyDescent="0.2">
      <c r="P513" s="9"/>
    </row>
    <row r="514" spans="16:16" ht="12.75" x14ac:dyDescent="0.2">
      <c r="P514" s="9"/>
    </row>
    <row r="515" spans="16:16" ht="12.75" x14ac:dyDescent="0.2">
      <c r="P515" s="9"/>
    </row>
    <row r="516" spans="16:16" ht="12.75" x14ac:dyDescent="0.2">
      <c r="P516" s="9"/>
    </row>
    <row r="517" spans="16:16" ht="12.75" x14ac:dyDescent="0.2">
      <c r="P517" s="9"/>
    </row>
    <row r="518" spans="16:16" ht="12.75" x14ac:dyDescent="0.2">
      <c r="P518" s="9"/>
    </row>
    <row r="519" spans="16:16" ht="12.75" x14ac:dyDescent="0.2">
      <c r="P519" s="9"/>
    </row>
    <row r="520" spans="16:16" ht="12.75" x14ac:dyDescent="0.2">
      <c r="P520" s="9"/>
    </row>
    <row r="521" spans="16:16" ht="12.75" x14ac:dyDescent="0.2">
      <c r="P521" s="9"/>
    </row>
    <row r="522" spans="16:16" ht="12.75" x14ac:dyDescent="0.2">
      <c r="P522" s="9"/>
    </row>
    <row r="523" spans="16:16" ht="12.75" x14ac:dyDescent="0.2">
      <c r="P523" s="9"/>
    </row>
    <row r="524" spans="16:16" ht="12.75" x14ac:dyDescent="0.2">
      <c r="P524" s="9"/>
    </row>
    <row r="525" spans="16:16" ht="12.75" x14ac:dyDescent="0.2">
      <c r="P525" s="9"/>
    </row>
    <row r="526" spans="16:16" ht="12.75" x14ac:dyDescent="0.2">
      <c r="P526" s="9"/>
    </row>
    <row r="527" spans="16:16" ht="12.75" x14ac:dyDescent="0.2">
      <c r="P527" s="9"/>
    </row>
    <row r="528" spans="16:16" ht="12.75" x14ac:dyDescent="0.2">
      <c r="P528" s="9"/>
    </row>
    <row r="529" spans="16:16" ht="12.75" x14ac:dyDescent="0.2">
      <c r="P529" s="9"/>
    </row>
    <row r="530" spans="16:16" ht="12.75" x14ac:dyDescent="0.2">
      <c r="P530" s="9"/>
    </row>
    <row r="531" spans="16:16" ht="12.75" x14ac:dyDescent="0.2">
      <c r="P531" s="9"/>
    </row>
    <row r="532" spans="16:16" ht="12.75" x14ac:dyDescent="0.2">
      <c r="P532" s="9"/>
    </row>
    <row r="533" spans="16:16" ht="12.75" x14ac:dyDescent="0.2">
      <c r="P533" s="9"/>
    </row>
    <row r="534" spans="16:16" ht="12.75" x14ac:dyDescent="0.2">
      <c r="P534" s="9"/>
    </row>
    <row r="535" spans="16:16" ht="12.75" x14ac:dyDescent="0.2">
      <c r="P535" s="9"/>
    </row>
    <row r="536" spans="16:16" ht="12.75" x14ac:dyDescent="0.2">
      <c r="P536" s="9"/>
    </row>
    <row r="537" spans="16:16" ht="12.75" x14ac:dyDescent="0.2">
      <c r="P537" s="9"/>
    </row>
    <row r="538" spans="16:16" ht="12.75" x14ac:dyDescent="0.2">
      <c r="P538" s="9"/>
    </row>
    <row r="539" spans="16:16" ht="12.75" x14ac:dyDescent="0.2">
      <c r="P539" s="9"/>
    </row>
    <row r="540" spans="16:16" ht="12.75" x14ac:dyDescent="0.2">
      <c r="P540" s="9"/>
    </row>
    <row r="541" spans="16:16" ht="12.75" x14ac:dyDescent="0.2">
      <c r="P541" s="9"/>
    </row>
    <row r="542" spans="16:16" ht="12.75" x14ac:dyDescent="0.2">
      <c r="P542" s="9"/>
    </row>
    <row r="543" spans="16:16" ht="12.75" x14ac:dyDescent="0.2">
      <c r="P543" s="9"/>
    </row>
    <row r="544" spans="16:16" ht="12.75" x14ac:dyDescent="0.2">
      <c r="P544" s="9"/>
    </row>
    <row r="545" spans="16:16" ht="12.75" x14ac:dyDescent="0.2">
      <c r="P545" s="9"/>
    </row>
    <row r="546" spans="16:16" ht="12.75" x14ac:dyDescent="0.2">
      <c r="P546" s="9"/>
    </row>
    <row r="547" spans="16:16" ht="12.75" x14ac:dyDescent="0.2">
      <c r="P547" s="9"/>
    </row>
    <row r="548" spans="16:16" ht="12.75" x14ac:dyDescent="0.2">
      <c r="P548" s="9"/>
    </row>
    <row r="549" spans="16:16" ht="12.75" x14ac:dyDescent="0.2">
      <c r="P549" s="9"/>
    </row>
    <row r="550" spans="16:16" ht="12.75" x14ac:dyDescent="0.2">
      <c r="P550" s="9"/>
    </row>
    <row r="551" spans="16:16" ht="12.75" x14ac:dyDescent="0.2">
      <c r="P551" s="9"/>
    </row>
    <row r="552" spans="16:16" ht="12.75" x14ac:dyDescent="0.2">
      <c r="P552" s="9"/>
    </row>
    <row r="553" spans="16:16" ht="12.75" x14ac:dyDescent="0.2">
      <c r="P553" s="9"/>
    </row>
    <row r="554" spans="16:16" ht="12.75" x14ac:dyDescent="0.2">
      <c r="P554" s="9"/>
    </row>
    <row r="555" spans="16:16" ht="12.75" x14ac:dyDescent="0.2">
      <c r="P555" s="9"/>
    </row>
    <row r="556" spans="16:16" ht="12.75" x14ac:dyDescent="0.2">
      <c r="P556" s="9"/>
    </row>
    <row r="557" spans="16:16" ht="12.75" x14ac:dyDescent="0.2">
      <c r="P557" s="9"/>
    </row>
    <row r="558" spans="16:16" ht="12.75" x14ac:dyDescent="0.2">
      <c r="P558" s="9"/>
    </row>
    <row r="559" spans="16:16" ht="12.75" x14ac:dyDescent="0.2">
      <c r="P559" s="9"/>
    </row>
    <row r="560" spans="16:16" ht="12.75" x14ac:dyDescent="0.2">
      <c r="P560" s="9"/>
    </row>
    <row r="561" spans="16:16" ht="12.75" x14ac:dyDescent="0.2">
      <c r="P561" s="9"/>
    </row>
    <row r="562" spans="16:16" ht="12.75" x14ac:dyDescent="0.2">
      <c r="P562" s="9"/>
    </row>
    <row r="563" spans="16:16" ht="12.75" x14ac:dyDescent="0.2">
      <c r="P563" s="9"/>
    </row>
    <row r="564" spans="16:16" ht="12.75" x14ac:dyDescent="0.2">
      <c r="P564" s="9"/>
    </row>
    <row r="565" spans="16:16" ht="12.75" x14ac:dyDescent="0.2">
      <c r="P565" s="9"/>
    </row>
    <row r="566" spans="16:16" ht="12.75" x14ac:dyDescent="0.2">
      <c r="P566" s="9"/>
    </row>
    <row r="567" spans="16:16" ht="12.75" x14ac:dyDescent="0.2">
      <c r="P567" s="9"/>
    </row>
    <row r="568" spans="16:16" ht="12.75" x14ac:dyDescent="0.2">
      <c r="P568" s="9"/>
    </row>
    <row r="569" spans="16:16" ht="12.75" x14ac:dyDescent="0.2">
      <c r="P569" s="9"/>
    </row>
    <row r="570" spans="16:16" ht="12.75" x14ac:dyDescent="0.2">
      <c r="P570" s="9"/>
    </row>
    <row r="571" spans="16:16" ht="12.75" x14ac:dyDescent="0.2">
      <c r="P571" s="9"/>
    </row>
    <row r="572" spans="16:16" ht="12.75" x14ac:dyDescent="0.2">
      <c r="P572" s="9"/>
    </row>
    <row r="573" spans="16:16" ht="12.75" x14ac:dyDescent="0.2">
      <c r="P573" s="9"/>
    </row>
    <row r="574" spans="16:16" ht="12.75" x14ac:dyDescent="0.2">
      <c r="P574" s="9"/>
    </row>
    <row r="575" spans="16:16" ht="12.75" x14ac:dyDescent="0.2">
      <c r="P575" s="9"/>
    </row>
    <row r="576" spans="16:16" ht="12.75" x14ac:dyDescent="0.2">
      <c r="P576" s="9"/>
    </row>
    <row r="577" spans="16:16" ht="12.75" x14ac:dyDescent="0.2">
      <c r="P577" s="9"/>
    </row>
    <row r="578" spans="16:16" ht="12.75" x14ac:dyDescent="0.2">
      <c r="P578" s="9"/>
    </row>
    <row r="579" spans="16:16" ht="12.75" x14ac:dyDescent="0.2">
      <c r="P579" s="9"/>
    </row>
    <row r="580" spans="16:16" ht="12.75" x14ac:dyDescent="0.2">
      <c r="P580" s="9"/>
    </row>
    <row r="581" spans="16:16" ht="12.75" x14ac:dyDescent="0.2">
      <c r="P581" s="9"/>
    </row>
    <row r="582" spans="16:16" ht="12.75" x14ac:dyDescent="0.2">
      <c r="P582" s="9"/>
    </row>
    <row r="583" spans="16:16" ht="12.75" x14ac:dyDescent="0.2">
      <c r="P583" s="9"/>
    </row>
    <row r="584" spans="16:16" ht="12.75" x14ac:dyDescent="0.2">
      <c r="P584" s="9"/>
    </row>
    <row r="585" spans="16:16" ht="12.75" x14ac:dyDescent="0.2">
      <c r="P585" s="9"/>
    </row>
    <row r="586" spans="16:16" ht="12.75" x14ac:dyDescent="0.2">
      <c r="P586" s="9"/>
    </row>
    <row r="587" spans="16:16" ht="12.75" x14ac:dyDescent="0.2">
      <c r="P587" s="9"/>
    </row>
    <row r="588" spans="16:16" ht="12.75" x14ac:dyDescent="0.2">
      <c r="P588" s="9"/>
    </row>
    <row r="589" spans="16:16" ht="12.75" x14ac:dyDescent="0.2">
      <c r="P589" s="9"/>
    </row>
    <row r="590" spans="16:16" ht="12.75" x14ac:dyDescent="0.2">
      <c r="P590" s="9"/>
    </row>
    <row r="591" spans="16:16" ht="12.75" x14ac:dyDescent="0.2">
      <c r="P591" s="9"/>
    </row>
    <row r="592" spans="16:16" ht="12.75" x14ac:dyDescent="0.2">
      <c r="P592" s="9"/>
    </row>
    <row r="593" spans="16:16" ht="12.75" x14ac:dyDescent="0.2">
      <c r="P593" s="9"/>
    </row>
    <row r="594" spans="16:16" ht="12.75" x14ac:dyDescent="0.2">
      <c r="P594" s="9"/>
    </row>
    <row r="595" spans="16:16" ht="12.75" x14ac:dyDescent="0.2">
      <c r="P595" s="9"/>
    </row>
    <row r="596" spans="16:16" ht="12.75" x14ac:dyDescent="0.2">
      <c r="P596" s="9"/>
    </row>
    <row r="597" spans="16:16" ht="12.75" x14ac:dyDescent="0.2">
      <c r="P597" s="9"/>
    </row>
    <row r="598" spans="16:16" ht="12.75" x14ac:dyDescent="0.2">
      <c r="P598" s="9"/>
    </row>
    <row r="599" spans="16:16" ht="12.75" x14ac:dyDescent="0.2">
      <c r="P599" s="9"/>
    </row>
    <row r="600" spans="16:16" ht="12.75" x14ac:dyDescent="0.2">
      <c r="P600" s="9"/>
    </row>
    <row r="601" spans="16:16" ht="12.75" x14ac:dyDescent="0.2">
      <c r="P601" s="9"/>
    </row>
    <row r="602" spans="16:16" ht="12.75" x14ac:dyDescent="0.2">
      <c r="P602" s="9"/>
    </row>
    <row r="603" spans="16:16" ht="12.75" x14ac:dyDescent="0.2">
      <c r="P603" s="9"/>
    </row>
    <row r="604" spans="16:16" ht="12.75" x14ac:dyDescent="0.2">
      <c r="P604" s="9"/>
    </row>
    <row r="605" spans="16:16" ht="12.75" x14ac:dyDescent="0.2">
      <c r="P605" s="9"/>
    </row>
    <row r="606" spans="16:16" ht="12.75" x14ac:dyDescent="0.2">
      <c r="P606" s="9"/>
    </row>
    <row r="607" spans="16:16" ht="12.75" x14ac:dyDescent="0.2">
      <c r="P607" s="9"/>
    </row>
    <row r="608" spans="16:16" ht="12.75" x14ac:dyDescent="0.2">
      <c r="P608" s="9"/>
    </row>
    <row r="609" spans="16:16" ht="12.75" x14ac:dyDescent="0.2">
      <c r="P609" s="9"/>
    </row>
    <row r="610" spans="16:16" ht="12.75" x14ac:dyDescent="0.2">
      <c r="P610" s="9"/>
    </row>
    <row r="611" spans="16:16" ht="12.75" x14ac:dyDescent="0.2">
      <c r="P611" s="9"/>
    </row>
    <row r="612" spans="16:16" ht="12.75" x14ac:dyDescent="0.2">
      <c r="P612" s="9"/>
    </row>
    <row r="613" spans="16:16" ht="12.75" x14ac:dyDescent="0.2">
      <c r="P613" s="9"/>
    </row>
    <row r="614" spans="16:16" ht="12.75" x14ac:dyDescent="0.2">
      <c r="P614" s="9"/>
    </row>
    <row r="615" spans="16:16" ht="12.75" x14ac:dyDescent="0.2">
      <c r="P615" s="9"/>
    </row>
    <row r="616" spans="16:16" ht="12.75" x14ac:dyDescent="0.2">
      <c r="P616" s="9"/>
    </row>
    <row r="617" spans="16:16" ht="12.75" x14ac:dyDescent="0.2">
      <c r="P617" s="9"/>
    </row>
    <row r="618" spans="16:16" ht="12.75" x14ac:dyDescent="0.2">
      <c r="P618" s="9"/>
    </row>
    <row r="619" spans="16:16" ht="12.75" x14ac:dyDescent="0.2">
      <c r="P619" s="9"/>
    </row>
    <row r="620" spans="16:16" ht="12.75" x14ac:dyDescent="0.2">
      <c r="P620" s="9"/>
    </row>
    <row r="621" spans="16:16" ht="12.75" x14ac:dyDescent="0.2">
      <c r="P621" s="9"/>
    </row>
    <row r="622" spans="16:16" ht="12.75" x14ac:dyDescent="0.2">
      <c r="P622" s="9"/>
    </row>
    <row r="623" spans="16:16" ht="12.75" x14ac:dyDescent="0.2">
      <c r="P623" s="9"/>
    </row>
    <row r="624" spans="16:16" ht="12.75" x14ac:dyDescent="0.2">
      <c r="P624" s="9"/>
    </row>
    <row r="625" spans="16:16" ht="12.75" x14ac:dyDescent="0.2">
      <c r="P625" s="9"/>
    </row>
    <row r="626" spans="16:16" ht="12.75" x14ac:dyDescent="0.2">
      <c r="P626" s="9"/>
    </row>
    <row r="627" spans="16:16" ht="12.75" x14ac:dyDescent="0.2">
      <c r="P627" s="9"/>
    </row>
    <row r="628" spans="16:16" ht="12.75" x14ac:dyDescent="0.2">
      <c r="P628" s="9"/>
    </row>
    <row r="629" spans="16:16" ht="12.75" x14ac:dyDescent="0.2">
      <c r="P629" s="9"/>
    </row>
    <row r="630" spans="16:16" ht="12.75" x14ac:dyDescent="0.2">
      <c r="P630" s="9"/>
    </row>
    <row r="631" spans="16:16" ht="12.75" x14ac:dyDescent="0.2">
      <c r="P631" s="9"/>
    </row>
    <row r="632" spans="16:16" ht="12.75" x14ac:dyDescent="0.2">
      <c r="P632" s="9"/>
    </row>
    <row r="633" spans="16:16" ht="12.75" x14ac:dyDescent="0.2">
      <c r="P633" s="9"/>
    </row>
    <row r="634" spans="16:16" ht="12.75" x14ac:dyDescent="0.2">
      <c r="P634" s="9"/>
    </row>
    <row r="635" spans="16:16" ht="12.75" x14ac:dyDescent="0.2">
      <c r="P635" s="9"/>
    </row>
    <row r="636" spans="16:16" ht="12.75" x14ac:dyDescent="0.2">
      <c r="P636" s="9"/>
    </row>
    <row r="637" spans="16:16" ht="12.75" x14ac:dyDescent="0.2">
      <c r="P637" s="9"/>
    </row>
    <row r="638" spans="16:16" ht="12.75" x14ac:dyDescent="0.2">
      <c r="P638" s="9"/>
    </row>
    <row r="639" spans="16:16" ht="12.75" x14ac:dyDescent="0.2">
      <c r="P639" s="9"/>
    </row>
    <row r="640" spans="16:16" ht="12.75" x14ac:dyDescent="0.2">
      <c r="P640" s="9"/>
    </row>
    <row r="641" spans="16:16" ht="12.75" x14ac:dyDescent="0.2">
      <c r="P641" s="9"/>
    </row>
    <row r="642" spans="16:16" ht="12.75" x14ac:dyDescent="0.2">
      <c r="P642" s="9"/>
    </row>
    <row r="643" spans="16:16" ht="12.75" x14ac:dyDescent="0.2">
      <c r="P643" s="9"/>
    </row>
    <row r="644" spans="16:16" ht="12.75" x14ac:dyDescent="0.2">
      <c r="P644" s="9"/>
    </row>
    <row r="645" spans="16:16" ht="12.75" x14ac:dyDescent="0.2">
      <c r="P645" s="9"/>
    </row>
    <row r="646" spans="16:16" ht="12.75" x14ac:dyDescent="0.2">
      <c r="P646" s="9"/>
    </row>
    <row r="647" spans="16:16" ht="12.75" x14ac:dyDescent="0.2">
      <c r="P647" s="9"/>
    </row>
    <row r="648" spans="16:16" ht="12.75" x14ac:dyDescent="0.2">
      <c r="P648" s="9"/>
    </row>
    <row r="649" spans="16:16" ht="12.75" x14ac:dyDescent="0.2">
      <c r="P649" s="9"/>
    </row>
    <row r="650" spans="16:16" ht="12.75" x14ac:dyDescent="0.2">
      <c r="P650" s="9"/>
    </row>
    <row r="651" spans="16:16" ht="12.75" x14ac:dyDescent="0.2">
      <c r="P651" s="9"/>
    </row>
    <row r="652" spans="16:16" ht="12.75" x14ac:dyDescent="0.2">
      <c r="P652" s="9"/>
    </row>
    <row r="653" spans="16:16" ht="12.75" x14ac:dyDescent="0.2">
      <c r="P653" s="9"/>
    </row>
    <row r="654" spans="16:16" ht="12.75" x14ac:dyDescent="0.2">
      <c r="P654" s="9"/>
    </row>
    <row r="655" spans="16:16" ht="12.75" x14ac:dyDescent="0.2">
      <c r="P655" s="9"/>
    </row>
    <row r="656" spans="16:16" ht="12.75" x14ac:dyDescent="0.2">
      <c r="P656" s="9"/>
    </row>
    <row r="657" spans="16:16" ht="12.75" x14ac:dyDescent="0.2">
      <c r="P657" s="9"/>
    </row>
    <row r="658" spans="16:16" ht="12.75" x14ac:dyDescent="0.2">
      <c r="P658" s="9"/>
    </row>
    <row r="659" spans="16:16" ht="12.75" x14ac:dyDescent="0.2">
      <c r="P659" s="9"/>
    </row>
    <row r="660" spans="16:16" ht="12.75" x14ac:dyDescent="0.2">
      <c r="P660" s="9"/>
    </row>
    <row r="661" spans="16:16" ht="12.75" x14ac:dyDescent="0.2">
      <c r="P661" s="9"/>
    </row>
    <row r="662" spans="16:16" ht="12.75" x14ac:dyDescent="0.2">
      <c r="P662" s="9"/>
    </row>
    <row r="663" spans="16:16" ht="12.75" x14ac:dyDescent="0.2">
      <c r="P663" s="9"/>
    </row>
    <row r="664" spans="16:16" ht="12.75" x14ac:dyDescent="0.2">
      <c r="P664" s="9"/>
    </row>
    <row r="665" spans="16:16" ht="12.75" x14ac:dyDescent="0.2">
      <c r="P665" s="9"/>
    </row>
    <row r="666" spans="16:16" ht="12.75" x14ac:dyDescent="0.2">
      <c r="P666" s="9"/>
    </row>
    <row r="667" spans="16:16" ht="12.75" x14ac:dyDescent="0.2">
      <c r="P667" s="9"/>
    </row>
    <row r="668" spans="16:16" ht="12.75" x14ac:dyDescent="0.2">
      <c r="P668" s="9"/>
    </row>
    <row r="669" spans="16:16" ht="12.75" x14ac:dyDescent="0.2">
      <c r="P669" s="9"/>
    </row>
    <row r="670" spans="16:16" ht="12.75" x14ac:dyDescent="0.2">
      <c r="P670" s="9"/>
    </row>
    <row r="671" spans="16:16" ht="12.75" x14ac:dyDescent="0.2">
      <c r="P671" s="9"/>
    </row>
    <row r="672" spans="16:16" ht="12.75" x14ac:dyDescent="0.2">
      <c r="P672" s="9"/>
    </row>
    <row r="673" spans="16:16" ht="12.75" x14ac:dyDescent="0.2">
      <c r="P673" s="9"/>
    </row>
    <row r="674" spans="16:16" ht="12.75" x14ac:dyDescent="0.2">
      <c r="P674" s="9"/>
    </row>
    <row r="675" spans="16:16" ht="12.75" x14ac:dyDescent="0.2">
      <c r="P675" s="9"/>
    </row>
    <row r="676" spans="16:16" ht="12.75" x14ac:dyDescent="0.2">
      <c r="P676" s="9"/>
    </row>
    <row r="677" spans="16:16" ht="12.75" x14ac:dyDescent="0.2">
      <c r="P677" s="9"/>
    </row>
    <row r="678" spans="16:16" ht="12.75" x14ac:dyDescent="0.2">
      <c r="P678" s="9"/>
    </row>
    <row r="679" spans="16:16" ht="12.75" x14ac:dyDescent="0.2">
      <c r="P679" s="9"/>
    </row>
    <row r="680" spans="16:16" ht="12.75" x14ac:dyDescent="0.2">
      <c r="P680" s="9"/>
    </row>
    <row r="681" spans="16:16" ht="12.75" x14ac:dyDescent="0.2">
      <c r="P681" s="9"/>
    </row>
    <row r="682" spans="16:16" ht="12.75" x14ac:dyDescent="0.2">
      <c r="P682" s="9"/>
    </row>
    <row r="683" spans="16:16" ht="12.75" x14ac:dyDescent="0.2">
      <c r="P683" s="9"/>
    </row>
    <row r="684" spans="16:16" ht="12.75" x14ac:dyDescent="0.2">
      <c r="P684" s="9"/>
    </row>
    <row r="685" spans="16:16" ht="12.75" x14ac:dyDescent="0.2">
      <c r="P685" s="9"/>
    </row>
    <row r="686" spans="16:16" ht="12.75" x14ac:dyDescent="0.2">
      <c r="P686" s="9"/>
    </row>
    <row r="687" spans="16:16" ht="12.75" x14ac:dyDescent="0.2">
      <c r="P687" s="9"/>
    </row>
    <row r="688" spans="16:16" ht="12.75" x14ac:dyDescent="0.2">
      <c r="P688" s="9"/>
    </row>
    <row r="689" spans="16:16" ht="12.75" x14ac:dyDescent="0.2">
      <c r="P689" s="9"/>
    </row>
    <row r="690" spans="16:16" ht="12.75" x14ac:dyDescent="0.2">
      <c r="P690" s="9"/>
    </row>
    <row r="691" spans="16:16" ht="12.75" x14ac:dyDescent="0.2">
      <c r="P691" s="9"/>
    </row>
    <row r="692" spans="16:16" ht="12.75" x14ac:dyDescent="0.2">
      <c r="P692" s="9"/>
    </row>
    <row r="693" spans="16:16" ht="12.75" x14ac:dyDescent="0.2">
      <c r="P693" s="9"/>
    </row>
    <row r="694" spans="16:16" ht="12.75" x14ac:dyDescent="0.2">
      <c r="P694" s="9"/>
    </row>
    <row r="695" spans="16:16" ht="12.75" x14ac:dyDescent="0.2">
      <c r="P695" s="9"/>
    </row>
    <row r="696" spans="16:16" ht="12.75" x14ac:dyDescent="0.2">
      <c r="P696" s="9"/>
    </row>
    <row r="697" spans="16:16" ht="12.75" x14ac:dyDescent="0.2">
      <c r="P697" s="9"/>
    </row>
    <row r="698" spans="16:16" ht="12.75" x14ac:dyDescent="0.2">
      <c r="P698" s="9"/>
    </row>
    <row r="699" spans="16:16" ht="12.75" x14ac:dyDescent="0.2">
      <c r="P699" s="9"/>
    </row>
    <row r="700" spans="16:16" ht="12.75" x14ac:dyDescent="0.2">
      <c r="P700" s="9"/>
    </row>
    <row r="701" spans="16:16" ht="12.75" x14ac:dyDescent="0.2">
      <c r="P701" s="9"/>
    </row>
    <row r="702" spans="16:16" ht="12.75" x14ac:dyDescent="0.2">
      <c r="P702" s="9"/>
    </row>
    <row r="703" spans="16:16" ht="12.75" x14ac:dyDescent="0.2">
      <c r="P703" s="9"/>
    </row>
    <row r="704" spans="16:16" ht="12.75" x14ac:dyDescent="0.2">
      <c r="P704" s="9"/>
    </row>
    <row r="705" spans="16:16" ht="12.75" x14ac:dyDescent="0.2">
      <c r="P705" s="9"/>
    </row>
    <row r="706" spans="16:16" ht="12.75" x14ac:dyDescent="0.2">
      <c r="P706" s="9"/>
    </row>
    <row r="707" spans="16:16" ht="12.75" x14ac:dyDescent="0.2">
      <c r="P707" s="9"/>
    </row>
    <row r="708" spans="16:16" ht="12.75" x14ac:dyDescent="0.2">
      <c r="P708" s="9"/>
    </row>
    <row r="709" spans="16:16" ht="12.75" x14ac:dyDescent="0.2">
      <c r="P709" s="9"/>
    </row>
    <row r="710" spans="16:16" ht="12.75" x14ac:dyDescent="0.2">
      <c r="P710" s="9"/>
    </row>
    <row r="711" spans="16:16" ht="12.75" x14ac:dyDescent="0.2">
      <c r="P711" s="9"/>
    </row>
    <row r="712" spans="16:16" ht="12.75" x14ac:dyDescent="0.2">
      <c r="P712" s="9"/>
    </row>
    <row r="713" spans="16:16" ht="12.75" x14ac:dyDescent="0.2">
      <c r="P713" s="9"/>
    </row>
    <row r="714" spans="16:16" ht="12.75" x14ac:dyDescent="0.2">
      <c r="P714" s="9"/>
    </row>
    <row r="715" spans="16:16" ht="12.75" x14ac:dyDescent="0.2">
      <c r="P715" s="9"/>
    </row>
    <row r="716" spans="16:16" ht="12.75" x14ac:dyDescent="0.2">
      <c r="P716" s="9"/>
    </row>
    <row r="717" spans="16:16" ht="12.75" x14ac:dyDescent="0.2">
      <c r="P717" s="9"/>
    </row>
    <row r="718" spans="16:16" ht="12.75" x14ac:dyDescent="0.2">
      <c r="P718" s="9"/>
    </row>
    <row r="719" spans="16:16" ht="12.75" x14ac:dyDescent="0.2">
      <c r="P719" s="9"/>
    </row>
    <row r="720" spans="16:16" ht="12.75" x14ac:dyDescent="0.2">
      <c r="P720" s="9"/>
    </row>
    <row r="721" spans="16:16" ht="12.75" x14ac:dyDescent="0.2">
      <c r="P721" s="9"/>
    </row>
    <row r="722" spans="16:16" ht="12.75" x14ac:dyDescent="0.2">
      <c r="P722" s="9"/>
    </row>
    <row r="723" spans="16:16" ht="12.75" x14ac:dyDescent="0.2">
      <c r="P723" s="9"/>
    </row>
    <row r="724" spans="16:16" ht="12.75" x14ac:dyDescent="0.2">
      <c r="P724" s="9"/>
    </row>
    <row r="725" spans="16:16" ht="12.75" x14ac:dyDescent="0.2">
      <c r="P725" s="9"/>
    </row>
    <row r="726" spans="16:16" ht="12.75" x14ac:dyDescent="0.2">
      <c r="P726" s="9"/>
    </row>
    <row r="727" spans="16:16" ht="12.75" x14ac:dyDescent="0.2">
      <c r="P727" s="9"/>
    </row>
    <row r="728" spans="16:16" ht="12.75" x14ac:dyDescent="0.2">
      <c r="P728" s="9"/>
    </row>
    <row r="729" spans="16:16" ht="12.75" x14ac:dyDescent="0.2">
      <c r="P729" s="9"/>
    </row>
    <row r="730" spans="16:16" ht="12.75" x14ac:dyDescent="0.2">
      <c r="P730" s="9"/>
    </row>
    <row r="731" spans="16:16" ht="12.75" x14ac:dyDescent="0.2">
      <c r="P731" s="9"/>
    </row>
    <row r="732" spans="16:16" ht="12.75" x14ac:dyDescent="0.2">
      <c r="P732" s="9"/>
    </row>
    <row r="733" spans="16:16" ht="12.75" x14ac:dyDescent="0.2">
      <c r="P733" s="9"/>
    </row>
    <row r="734" spans="16:16" ht="12.75" x14ac:dyDescent="0.2">
      <c r="P734" s="9"/>
    </row>
    <row r="735" spans="16:16" ht="12.75" x14ac:dyDescent="0.2">
      <c r="P735" s="9"/>
    </row>
    <row r="736" spans="16:16" ht="12.75" x14ac:dyDescent="0.2">
      <c r="P736" s="9"/>
    </row>
    <row r="737" spans="16:16" ht="12.75" x14ac:dyDescent="0.2">
      <c r="P737" s="9"/>
    </row>
    <row r="738" spans="16:16" ht="12.75" x14ac:dyDescent="0.2">
      <c r="P738" s="9"/>
    </row>
    <row r="739" spans="16:16" ht="12.75" x14ac:dyDescent="0.2">
      <c r="P739" s="9"/>
    </row>
    <row r="740" spans="16:16" ht="12.75" x14ac:dyDescent="0.2">
      <c r="P740" s="9"/>
    </row>
    <row r="741" spans="16:16" ht="12.75" x14ac:dyDescent="0.2">
      <c r="P741" s="9"/>
    </row>
    <row r="742" spans="16:16" ht="12.75" x14ac:dyDescent="0.2">
      <c r="P742" s="9"/>
    </row>
    <row r="743" spans="16:16" ht="12.75" x14ac:dyDescent="0.2">
      <c r="P743" s="9"/>
    </row>
    <row r="744" spans="16:16" ht="12.75" x14ac:dyDescent="0.2">
      <c r="P744" s="9"/>
    </row>
    <row r="745" spans="16:16" ht="12.75" x14ac:dyDescent="0.2">
      <c r="P745" s="9"/>
    </row>
    <row r="746" spans="16:16" ht="12.75" x14ac:dyDescent="0.2">
      <c r="P746" s="9"/>
    </row>
    <row r="747" spans="16:16" ht="12.75" x14ac:dyDescent="0.2">
      <c r="P747" s="9"/>
    </row>
    <row r="748" spans="16:16" ht="12.75" x14ac:dyDescent="0.2">
      <c r="P748" s="9"/>
    </row>
    <row r="749" spans="16:16" ht="12.75" x14ac:dyDescent="0.2">
      <c r="P749" s="9"/>
    </row>
    <row r="750" spans="16:16" ht="12.75" x14ac:dyDescent="0.2">
      <c r="P750" s="9"/>
    </row>
    <row r="751" spans="16:16" ht="12.75" x14ac:dyDescent="0.2">
      <c r="P751" s="9"/>
    </row>
    <row r="752" spans="16:16" ht="12.75" x14ac:dyDescent="0.2">
      <c r="P752" s="9"/>
    </row>
    <row r="753" spans="16:16" ht="12.75" x14ac:dyDescent="0.2">
      <c r="P753" s="9"/>
    </row>
    <row r="754" spans="16:16" ht="12.75" x14ac:dyDescent="0.2">
      <c r="P754" s="9"/>
    </row>
    <row r="755" spans="16:16" ht="12.75" x14ac:dyDescent="0.2">
      <c r="P755" s="9"/>
    </row>
    <row r="756" spans="16:16" ht="12.75" x14ac:dyDescent="0.2">
      <c r="P756" s="9"/>
    </row>
    <row r="757" spans="16:16" ht="12.75" x14ac:dyDescent="0.2">
      <c r="P757" s="9"/>
    </row>
    <row r="758" spans="16:16" ht="12.75" x14ac:dyDescent="0.2">
      <c r="P758" s="9"/>
    </row>
    <row r="759" spans="16:16" ht="12.75" x14ac:dyDescent="0.2">
      <c r="P759" s="9"/>
    </row>
    <row r="760" spans="16:16" ht="12.75" x14ac:dyDescent="0.2">
      <c r="P760" s="9"/>
    </row>
    <row r="761" spans="16:16" ht="12.75" x14ac:dyDescent="0.2">
      <c r="P761" s="9"/>
    </row>
    <row r="762" spans="16:16" ht="12.75" x14ac:dyDescent="0.2">
      <c r="P762" s="9"/>
    </row>
    <row r="763" spans="16:16" ht="12.75" x14ac:dyDescent="0.2">
      <c r="P763" s="9"/>
    </row>
    <row r="764" spans="16:16" ht="12.75" x14ac:dyDescent="0.2">
      <c r="P764" s="9"/>
    </row>
    <row r="765" spans="16:16" ht="12.75" x14ac:dyDescent="0.2">
      <c r="P765" s="9"/>
    </row>
    <row r="766" spans="16:16" ht="12.75" x14ac:dyDescent="0.2">
      <c r="P766" s="9"/>
    </row>
    <row r="767" spans="16:16" ht="12.75" x14ac:dyDescent="0.2">
      <c r="P767" s="9"/>
    </row>
    <row r="768" spans="16:16" ht="12.75" x14ac:dyDescent="0.2">
      <c r="P768" s="9"/>
    </row>
    <row r="769" spans="16:16" ht="12.75" x14ac:dyDescent="0.2">
      <c r="P769" s="9"/>
    </row>
    <row r="770" spans="16:16" ht="12.75" x14ac:dyDescent="0.2">
      <c r="P770" s="9"/>
    </row>
    <row r="771" spans="16:16" ht="12.75" x14ac:dyDescent="0.2">
      <c r="P771" s="9"/>
    </row>
    <row r="772" spans="16:16" ht="12.75" x14ac:dyDescent="0.2">
      <c r="P772" s="9"/>
    </row>
    <row r="773" spans="16:16" ht="12.75" x14ac:dyDescent="0.2">
      <c r="P773" s="9"/>
    </row>
    <row r="774" spans="16:16" ht="12.75" x14ac:dyDescent="0.2">
      <c r="P774" s="9"/>
    </row>
    <row r="775" spans="16:16" ht="12.75" x14ac:dyDescent="0.2">
      <c r="P775" s="9"/>
    </row>
    <row r="776" spans="16:16" ht="12.75" x14ac:dyDescent="0.2">
      <c r="P776" s="9"/>
    </row>
    <row r="777" spans="16:16" ht="12.75" x14ac:dyDescent="0.2">
      <c r="P777" s="9"/>
    </row>
    <row r="778" spans="16:16" ht="12.75" x14ac:dyDescent="0.2">
      <c r="P778" s="9"/>
    </row>
    <row r="779" spans="16:16" ht="12.75" x14ac:dyDescent="0.2">
      <c r="P779" s="9"/>
    </row>
    <row r="780" spans="16:16" ht="12.75" x14ac:dyDescent="0.2">
      <c r="P780" s="9"/>
    </row>
    <row r="781" spans="16:16" ht="12.75" x14ac:dyDescent="0.2">
      <c r="P781" s="9"/>
    </row>
    <row r="782" spans="16:16" ht="12.75" x14ac:dyDescent="0.2">
      <c r="P782" s="9"/>
    </row>
    <row r="783" spans="16:16" ht="12.75" x14ac:dyDescent="0.2">
      <c r="P783" s="9"/>
    </row>
    <row r="784" spans="16:16" ht="12.75" x14ac:dyDescent="0.2">
      <c r="P784" s="9"/>
    </row>
    <row r="785" spans="16:16" ht="12.75" x14ac:dyDescent="0.2">
      <c r="P785" s="9"/>
    </row>
    <row r="786" spans="16:16" ht="12.75" x14ac:dyDescent="0.2">
      <c r="P786" s="9"/>
    </row>
    <row r="787" spans="16:16" ht="12.75" x14ac:dyDescent="0.2">
      <c r="P787" s="9"/>
    </row>
    <row r="788" spans="16:16" ht="12.75" x14ac:dyDescent="0.2">
      <c r="P788" s="9"/>
    </row>
    <row r="789" spans="16:16" ht="12.75" x14ac:dyDescent="0.2">
      <c r="P789" s="9"/>
    </row>
    <row r="790" spans="16:16" ht="12.75" x14ac:dyDescent="0.2">
      <c r="P790" s="9"/>
    </row>
    <row r="791" spans="16:16" ht="12.75" x14ac:dyDescent="0.2">
      <c r="P791" s="9"/>
    </row>
    <row r="792" spans="16:16" ht="12.75" x14ac:dyDescent="0.2">
      <c r="P792" s="9"/>
    </row>
    <row r="793" spans="16:16" ht="12.75" x14ac:dyDescent="0.2">
      <c r="P793" s="9"/>
    </row>
    <row r="794" spans="16:16" ht="12.75" x14ac:dyDescent="0.2">
      <c r="P794" s="9"/>
    </row>
    <row r="795" spans="16:16" ht="12.75" x14ac:dyDescent="0.2">
      <c r="P795" s="9"/>
    </row>
    <row r="796" spans="16:16" ht="12.75" x14ac:dyDescent="0.2">
      <c r="P796" s="9"/>
    </row>
    <row r="797" spans="16:16" ht="12.75" x14ac:dyDescent="0.2">
      <c r="P797" s="9"/>
    </row>
    <row r="798" spans="16:16" ht="12.75" x14ac:dyDescent="0.2">
      <c r="P798" s="9"/>
    </row>
    <row r="799" spans="16:16" ht="12.75" x14ac:dyDescent="0.2">
      <c r="P799" s="9"/>
    </row>
    <row r="800" spans="16:16" ht="12.75" x14ac:dyDescent="0.2">
      <c r="P800" s="9"/>
    </row>
    <row r="801" spans="16:16" ht="12.75" x14ac:dyDescent="0.2">
      <c r="P801" s="9"/>
    </row>
    <row r="802" spans="16:16" ht="12.75" x14ac:dyDescent="0.2">
      <c r="P802" s="9"/>
    </row>
    <row r="803" spans="16:16" ht="12.75" x14ac:dyDescent="0.2">
      <c r="P803" s="9"/>
    </row>
    <row r="804" spans="16:16" ht="12.75" x14ac:dyDescent="0.2">
      <c r="P804" s="9"/>
    </row>
    <row r="805" spans="16:16" ht="12.75" x14ac:dyDescent="0.2">
      <c r="P805" s="9"/>
    </row>
    <row r="806" spans="16:16" ht="12.75" x14ac:dyDescent="0.2">
      <c r="P806" s="9"/>
    </row>
    <row r="807" spans="16:16" ht="12.75" x14ac:dyDescent="0.2">
      <c r="P807" s="9"/>
    </row>
    <row r="808" spans="16:16" ht="12.75" x14ac:dyDescent="0.2">
      <c r="P808" s="9"/>
    </row>
    <row r="809" spans="16:16" ht="12.75" x14ac:dyDescent="0.2">
      <c r="P809" s="9"/>
    </row>
    <row r="810" spans="16:16" ht="12.75" x14ac:dyDescent="0.2">
      <c r="P810" s="9"/>
    </row>
    <row r="811" spans="16:16" ht="12.75" x14ac:dyDescent="0.2">
      <c r="P811" s="9"/>
    </row>
    <row r="812" spans="16:16" ht="12.75" x14ac:dyDescent="0.2">
      <c r="P812" s="9"/>
    </row>
    <row r="813" spans="16:16" ht="12.75" x14ac:dyDescent="0.2">
      <c r="P813" s="9"/>
    </row>
    <row r="814" spans="16:16" ht="12.75" x14ac:dyDescent="0.2">
      <c r="P814" s="9"/>
    </row>
    <row r="815" spans="16:16" ht="12.75" x14ac:dyDescent="0.2">
      <c r="P815" s="9"/>
    </row>
    <row r="816" spans="16:16" ht="12.75" x14ac:dyDescent="0.2">
      <c r="P816" s="9"/>
    </row>
    <row r="817" spans="16:16" ht="12.75" x14ac:dyDescent="0.2">
      <c r="P817" s="9"/>
    </row>
    <row r="818" spans="16:16" ht="12.75" x14ac:dyDescent="0.2">
      <c r="P818" s="9"/>
    </row>
    <row r="819" spans="16:16" ht="12.75" x14ac:dyDescent="0.2">
      <c r="P819" s="9"/>
    </row>
    <row r="820" spans="16:16" ht="12.75" x14ac:dyDescent="0.2">
      <c r="P820" s="9"/>
    </row>
    <row r="821" spans="16:16" ht="12.75" x14ac:dyDescent="0.2">
      <c r="P821" s="9"/>
    </row>
    <row r="822" spans="16:16" ht="12.75" x14ac:dyDescent="0.2">
      <c r="P822" s="9"/>
    </row>
    <row r="823" spans="16:16" ht="12.75" x14ac:dyDescent="0.2">
      <c r="P823" s="9"/>
    </row>
    <row r="824" spans="16:16" ht="12.75" x14ac:dyDescent="0.2">
      <c r="P824" s="9"/>
    </row>
    <row r="825" spans="16:16" ht="12.75" x14ac:dyDescent="0.2">
      <c r="P825" s="9"/>
    </row>
    <row r="826" spans="16:16" ht="12.75" x14ac:dyDescent="0.2">
      <c r="P826" s="9"/>
    </row>
    <row r="827" spans="16:16" ht="12.75" x14ac:dyDescent="0.2">
      <c r="P827" s="9"/>
    </row>
    <row r="828" spans="16:16" ht="12.75" x14ac:dyDescent="0.2">
      <c r="P828" s="9"/>
    </row>
    <row r="829" spans="16:16" ht="12.75" x14ac:dyDescent="0.2">
      <c r="P829" s="9"/>
    </row>
    <row r="830" spans="16:16" ht="12.75" x14ac:dyDescent="0.2">
      <c r="P830" s="9"/>
    </row>
    <row r="831" spans="16:16" ht="12.75" x14ac:dyDescent="0.2">
      <c r="P831" s="9"/>
    </row>
    <row r="832" spans="16:16" ht="12.75" x14ac:dyDescent="0.2">
      <c r="P832" s="9"/>
    </row>
    <row r="833" spans="16:16" ht="12.75" x14ac:dyDescent="0.2">
      <c r="P833" s="9"/>
    </row>
    <row r="834" spans="16:16" ht="12.75" x14ac:dyDescent="0.2">
      <c r="P834" s="9"/>
    </row>
    <row r="835" spans="16:16" ht="12.75" x14ac:dyDescent="0.2">
      <c r="P835" s="9"/>
    </row>
    <row r="836" spans="16:16" ht="12.75" x14ac:dyDescent="0.2">
      <c r="P836" s="9"/>
    </row>
    <row r="837" spans="16:16" ht="12.75" x14ac:dyDescent="0.2">
      <c r="P837" s="9"/>
    </row>
    <row r="838" spans="16:16" ht="12.75" x14ac:dyDescent="0.2">
      <c r="P838" s="9"/>
    </row>
    <row r="839" spans="16:16" ht="12.75" x14ac:dyDescent="0.2">
      <c r="P839" s="9"/>
    </row>
    <row r="840" spans="16:16" ht="12.75" x14ac:dyDescent="0.2">
      <c r="P840" s="9"/>
    </row>
    <row r="841" spans="16:16" ht="12.75" x14ac:dyDescent="0.2">
      <c r="P841" s="9"/>
    </row>
    <row r="842" spans="16:16" ht="12.75" x14ac:dyDescent="0.2">
      <c r="P842" s="9"/>
    </row>
    <row r="843" spans="16:16" ht="12.75" x14ac:dyDescent="0.2">
      <c r="P843" s="9"/>
    </row>
    <row r="844" spans="16:16" ht="12.75" x14ac:dyDescent="0.2">
      <c r="P844" s="9"/>
    </row>
    <row r="845" spans="16:16" ht="12.75" x14ac:dyDescent="0.2">
      <c r="P845" s="9"/>
    </row>
    <row r="846" spans="16:16" ht="12.75" x14ac:dyDescent="0.2">
      <c r="P846" s="9"/>
    </row>
    <row r="847" spans="16:16" ht="12.75" x14ac:dyDescent="0.2">
      <c r="P847" s="9"/>
    </row>
    <row r="848" spans="16:16" ht="12.75" x14ac:dyDescent="0.2">
      <c r="P848" s="9"/>
    </row>
    <row r="849" spans="16:16" ht="12.75" x14ac:dyDescent="0.2">
      <c r="P849" s="9"/>
    </row>
    <row r="850" spans="16:16" ht="12.75" x14ac:dyDescent="0.2">
      <c r="P850" s="9"/>
    </row>
    <row r="851" spans="16:16" ht="12.75" x14ac:dyDescent="0.2">
      <c r="P851" s="9"/>
    </row>
    <row r="852" spans="16:16" ht="12.75" x14ac:dyDescent="0.2">
      <c r="P852" s="9"/>
    </row>
    <row r="853" spans="16:16" ht="12.75" x14ac:dyDescent="0.2">
      <c r="P853" s="9"/>
    </row>
    <row r="854" spans="16:16" ht="12.75" x14ac:dyDescent="0.2">
      <c r="P854" s="9"/>
    </row>
    <row r="855" spans="16:16" ht="12.75" x14ac:dyDescent="0.2">
      <c r="P855" s="9"/>
    </row>
    <row r="856" spans="16:16" ht="12.75" x14ac:dyDescent="0.2">
      <c r="P856" s="9"/>
    </row>
    <row r="857" spans="16:16" ht="12.75" x14ac:dyDescent="0.2">
      <c r="P857" s="9"/>
    </row>
    <row r="858" spans="16:16" ht="12.75" x14ac:dyDescent="0.2">
      <c r="P858" s="9"/>
    </row>
    <row r="859" spans="16:16" ht="12.75" x14ac:dyDescent="0.2">
      <c r="P859" s="9"/>
    </row>
    <row r="860" spans="16:16" ht="12.75" x14ac:dyDescent="0.2">
      <c r="P860" s="9"/>
    </row>
    <row r="861" spans="16:16" ht="12.75" x14ac:dyDescent="0.2">
      <c r="P861" s="9"/>
    </row>
    <row r="862" spans="16:16" ht="12.75" x14ac:dyDescent="0.2">
      <c r="P862" s="9"/>
    </row>
    <row r="863" spans="16:16" ht="12.75" x14ac:dyDescent="0.2">
      <c r="P863" s="9"/>
    </row>
    <row r="864" spans="16:16" ht="12.75" x14ac:dyDescent="0.2">
      <c r="P864" s="9"/>
    </row>
    <row r="865" spans="16:16" ht="12.75" x14ac:dyDescent="0.2">
      <c r="P865" s="9"/>
    </row>
    <row r="866" spans="16:16" ht="12.75" x14ac:dyDescent="0.2">
      <c r="P866" s="9"/>
    </row>
    <row r="867" spans="16:16" ht="12.75" x14ac:dyDescent="0.2">
      <c r="P867" s="9"/>
    </row>
    <row r="868" spans="16:16" ht="12.75" x14ac:dyDescent="0.2">
      <c r="P868" s="9"/>
    </row>
    <row r="869" spans="16:16" ht="12.75" x14ac:dyDescent="0.2">
      <c r="P869" s="9"/>
    </row>
    <row r="870" spans="16:16" ht="12.75" x14ac:dyDescent="0.2">
      <c r="P870" s="9"/>
    </row>
    <row r="871" spans="16:16" ht="12.75" x14ac:dyDescent="0.2">
      <c r="P871" s="9"/>
    </row>
    <row r="872" spans="16:16" ht="12.75" x14ac:dyDescent="0.2">
      <c r="P872" s="9"/>
    </row>
    <row r="873" spans="16:16" ht="12.75" x14ac:dyDescent="0.2">
      <c r="P873" s="9"/>
    </row>
    <row r="874" spans="16:16" ht="12.75" x14ac:dyDescent="0.2">
      <c r="P874" s="9"/>
    </row>
    <row r="875" spans="16:16" ht="12.75" x14ac:dyDescent="0.2">
      <c r="P875" s="9"/>
    </row>
    <row r="876" spans="16:16" ht="12.75" x14ac:dyDescent="0.2">
      <c r="P876" s="9"/>
    </row>
    <row r="877" spans="16:16" ht="12.75" x14ac:dyDescent="0.2">
      <c r="P877" s="9"/>
    </row>
    <row r="878" spans="16:16" ht="12.75" x14ac:dyDescent="0.2">
      <c r="P878" s="9"/>
    </row>
    <row r="879" spans="16:16" ht="12.75" x14ac:dyDescent="0.2">
      <c r="P879" s="9"/>
    </row>
    <row r="880" spans="16:16" ht="12.75" x14ac:dyDescent="0.2">
      <c r="P880" s="9"/>
    </row>
    <row r="881" spans="16:16" ht="12.75" x14ac:dyDescent="0.2">
      <c r="P881" s="9"/>
    </row>
    <row r="882" spans="16:16" ht="12.75" x14ac:dyDescent="0.2">
      <c r="P882" s="9"/>
    </row>
    <row r="883" spans="16:16" ht="12.75" x14ac:dyDescent="0.2">
      <c r="P883" s="9"/>
    </row>
    <row r="884" spans="16:16" ht="12.75" x14ac:dyDescent="0.2">
      <c r="P884" s="9"/>
    </row>
    <row r="885" spans="16:16" ht="12.75" x14ac:dyDescent="0.2">
      <c r="P885" s="9"/>
    </row>
    <row r="886" spans="16:16" ht="12.75" x14ac:dyDescent="0.2">
      <c r="P886" s="9"/>
    </row>
    <row r="887" spans="16:16" ht="12.75" x14ac:dyDescent="0.2">
      <c r="P887" s="9"/>
    </row>
    <row r="888" spans="16:16" ht="12.75" x14ac:dyDescent="0.2">
      <c r="P888" s="9"/>
    </row>
    <row r="889" spans="16:16" ht="12.75" x14ac:dyDescent="0.2">
      <c r="P889" s="9"/>
    </row>
    <row r="890" spans="16:16" ht="12.75" x14ac:dyDescent="0.2">
      <c r="P890" s="9"/>
    </row>
    <row r="891" spans="16:16" ht="12.75" x14ac:dyDescent="0.2">
      <c r="P891" s="9"/>
    </row>
    <row r="892" spans="16:16" ht="12.75" x14ac:dyDescent="0.2">
      <c r="P892" s="9"/>
    </row>
    <row r="893" spans="16:16" ht="12.75" x14ac:dyDescent="0.2">
      <c r="P893" s="9"/>
    </row>
    <row r="894" spans="16:16" ht="12.75" x14ac:dyDescent="0.2">
      <c r="P894" s="9"/>
    </row>
    <row r="895" spans="16:16" ht="12.75" x14ac:dyDescent="0.2">
      <c r="P895" s="9"/>
    </row>
    <row r="896" spans="16:16" ht="12.75" x14ac:dyDescent="0.2">
      <c r="P896" s="9"/>
    </row>
    <row r="897" spans="16:16" ht="12.75" x14ac:dyDescent="0.2">
      <c r="P897" s="9"/>
    </row>
    <row r="898" spans="16:16" ht="12.75" x14ac:dyDescent="0.2">
      <c r="P898" s="9"/>
    </row>
    <row r="899" spans="16:16" ht="12.75" x14ac:dyDescent="0.2">
      <c r="P899" s="9"/>
    </row>
    <row r="900" spans="16:16" ht="12.75" x14ac:dyDescent="0.2">
      <c r="P900" s="9"/>
    </row>
    <row r="901" spans="16:16" ht="12.75" x14ac:dyDescent="0.2">
      <c r="P901" s="9"/>
    </row>
    <row r="902" spans="16:16" ht="12.75" x14ac:dyDescent="0.2">
      <c r="P902" s="9"/>
    </row>
    <row r="903" spans="16:16" ht="12.75" x14ac:dyDescent="0.2">
      <c r="P903" s="9"/>
    </row>
    <row r="904" spans="16:16" ht="12.75" x14ac:dyDescent="0.2">
      <c r="P904" s="9"/>
    </row>
    <row r="905" spans="16:16" ht="12.75" x14ac:dyDescent="0.2">
      <c r="P905" s="9"/>
    </row>
    <row r="906" spans="16:16" ht="12.75" x14ac:dyDescent="0.2">
      <c r="P906" s="9"/>
    </row>
    <row r="907" spans="16:16" ht="12.75" x14ac:dyDescent="0.2">
      <c r="P907" s="9"/>
    </row>
    <row r="908" spans="16:16" ht="12.75" x14ac:dyDescent="0.2">
      <c r="P908" s="9"/>
    </row>
    <row r="909" spans="16:16" ht="12.75" x14ac:dyDescent="0.2">
      <c r="P909" s="9"/>
    </row>
    <row r="910" spans="16:16" ht="12.75" x14ac:dyDescent="0.2">
      <c r="P910" s="9"/>
    </row>
    <row r="911" spans="16:16" ht="12.75" x14ac:dyDescent="0.2">
      <c r="P911" s="9"/>
    </row>
    <row r="912" spans="16:16" ht="12.75" x14ac:dyDescent="0.2">
      <c r="P912" s="9"/>
    </row>
    <row r="913" spans="16:16" ht="12.75" x14ac:dyDescent="0.2">
      <c r="P913" s="9"/>
    </row>
    <row r="914" spans="16:16" ht="12.75" x14ac:dyDescent="0.2">
      <c r="P914" s="9"/>
    </row>
    <row r="915" spans="16:16" ht="12.75" x14ac:dyDescent="0.2">
      <c r="P915" s="9"/>
    </row>
    <row r="916" spans="16:16" ht="12.75" x14ac:dyDescent="0.2">
      <c r="P916" s="9"/>
    </row>
    <row r="917" spans="16:16" ht="12.75" x14ac:dyDescent="0.2">
      <c r="P917" s="9"/>
    </row>
    <row r="918" spans="16:16" ht="12.75" x14ac:dyDescent="0.2">
      <c r="P918" s="9"/>
    </row>
    <row r="919" spans="16:16" ht="12.75" x14ac:dyDescent="0.2">
      <c r="P919" s="9"/>
    </row>
    <row r="920" spans="16:16" ht="12.75" x14ac:dyDescent="0.2">
      <c r="P920" s="9"/>
    </row>
    <row r="921" spans="16:16" ht="12.75" x14ac:dyDescent="0.2">
      <c r="P921" s="9"/>
    </row>
    <row r="922" spans="16:16" ht="12.75" x14ac:dyDescent="0.2">
      <c r="P922" s="9"/>
    </row>
    <row r="923" spans="16:16" ht="12.75" x14ac:dyDescent="0.2">
      <c r="P923" s="9"/>
    </row>
    <row r="924" spans="16:16" ht="12.75" x14ac:dyDescent="0.2">
      <c r="P924" s="9"/>
    </row>
    <row r="925" spans="16:16" ht="12.75" x14ac:dyDescent="0.2">
      <c r="P925" s="9"/>
    </row>
    <row r="926" spans="16:16" ht="12.75" x14ac:dyDescent="0.2">
      <c r="P926" s="9"/>
    </row>
    <row r="927" spans="16:16" ht="12.75" x14ac:dyDescent="0.2">
      <c r="P927" s="9"/>
    </row>
    <row r="928" spans="16:16" ht="12.75" x14ac:dyDescent="0.2">
      <c r="P928" s="9"/>
    </row>
    <row r="929" spans="16:16" ht="12.75" x14ac:dyDescent="0.2">
      <c r="P929" s="9"/>
    </row>
    <row r="930" spans="16:16" ht="12.75" x14ac:dyDescent="0.2">
      <c r="P930" s="9"/>
    </row>
    <row r="931" spans="16:16" ht="12.75" x14ac:dyDescent="0.2">
      <c r="P931" s="9"/>
    </row>
    <row r="932" spans="16:16" ht="12.75" x14ac:dyDescent="0.2">
      <c r="P932" s="9"/>
    </row>
    <row r="933" spans="16:16" ht="12.75" x14ac:dyDescent="0.2">
      <c r="P933" s="9"/>
    </row>
    <row r="934" spans="16:16" ht="12.75" x14ac:dyDescent="0.2">
      <c r="P934" s="9"/>
    </row>
    <row r="935" spans="16:16" ht="12.75" x14ac:dyDescent="0.2">
      <c r="P935" s="9"/>
    </row>
    <row r="936" spans="16:16" ht="12.75" x14ac:dyDescent="0.2">
      <c r="P936" s="9"/>
    </row>
    <row r="937" spans="16:16" ht="12.75" x14ac:dyDescent="0.2">
      <c r="P937" s="9"/>
    </row>
    <row r="938" spans="16:16" ht="12.75" x14ac:dyDescent="0.2">
      <c r="P938" s="9"/>
    </row>
    <row r="939" spans="16:16" ht="12.75" x14ac:dyDescent="0.2">
      <c r="P939" s="9"/>
    </row>
    <row r="940" spans="16:16" ht="12.75" x14ac:dyDescent="0.2">
      <c r="P940" s="9"/>
    </row>
    <row r="941" spans="16:16" ht="12.75" x14ac:dyDescent="0.2">
      <c r="P941" s="9"/>
    </row>
    <row r="942" spans="16:16" ht="12.75" x14ac:dyDescent="0.2">
      <c r="P942" s="9"/>
    </row>
    <row r="943" spans="16:16" ht="12.75" x14ac:dyDescent="0.2">
      <c r="P943" s="9"/>
    </row>
    <row r="944" spans="16:16" ht="12.75" x14ac:dyDescent="0.2">
      <c r="P944" s="9"/>
    </row>
    <row r="945" spans="16:16" ht="12.75" x14ac:dyDescent="0.2">
      <c r="P945" s="9"/>
    </row>
    <row r="946" spans="16:16" ht="12.75" x14ac:dyDescent="0.2">
      <c r="P946" s="9"/>
    </row>
    <row r="947" spans="16:16" ht="12.75" x14ac:dyDescent="0.2">
      <c r="P947" s="9"/>
    </row>
    <row r="948" spans="16:16" ht="12.75" x14ac:dyDescent="0.2">
      <c r="P948" s="9"/>
    </row>
    <row r="949" spans="16:16" ht="12.75" x14ac:dyDescent="0.2">
      <c r="P949" s="9"/>
    </row>
    <row r="950" spans="16:16" ht="12.75" x14ac:dyDescent="0.2">
      <c r="P950" s="9"/>
    </row>
    <row r="951" spans="16:16" ht="12.75" x14ac:dyDescent="0.2">
      <c r="P951" s="9"/>
    </row>
    <row r="952" spans="16:16" ht="12.75" x14ac:dyDescent="0.2">
      <c r="P952" s="9"/>
    </row>
    <row r="953" spans="16:16" ht="12.75" x14ac:dyDescent="0.2">
      <c r="P953" s="9"/>
    </row>
    <row r="954" spans="16:16" ht="12.75" x14ac:dyDescent="0.2">
      <c r="P954" s="9"/>
    </row>
    <row r="955" spans="16:16" ht="12.75" x14ac:dyDescent="0.2">
      <c r="P955" s="9"/>
    </row>
    <row r="956" spans="16:16" ht="12.75" x14ac:dyDescent="0.2">
      <c r="P956" s="9"/>
    </row>
    <row r="957" spans="16:16" ht="12.75" x14ac:dyDescent="0.2">
      <c r="P957" s="9"/>
    </row>
    <row r="958" spans="16:16" ht="12.75" x14ac:dyDescent="0.2">
      <c r="P958" s="9"/>
    </row>
    <row r="959" spans="16:16" ht="12.75" x14ac:dyDescent="0.2">
      <c r="P959" s="9"/>
    </row>
    <row r="960" spans="16:16" ht="12.75" x14ac:dyDescent="0.2">
      <c r="P960" s="9"/>
    </row>
    <row r="961" spans="16:16" ht="12.75" x14ac:dyDescent="0.2">
      <c r="P961" s="9"/>
    </row>
    <row r="962" spans="16:16" ht="12.75" x14ac:dyDescent="0.2">
      <c r="P962" s="9"/>
    </row>
    <row r="963" spans="16:16" ht="12.75" x14ac:dyDescent="0.2">
      <c r="P963" s="9"/>
    </row>
    <row r="964" spans="16:16" ht="12.75" x14ac:dyDescent="0.2">
      <c r="P964" s="9"/>
    </row>
    <row r="965" spans="16:16" ht="12.75" x14ac:dyDescent="0.2">
      <c r="P965" s="9"/>
    </row>
    <row r="966" spans="16:16" ht="12.75" x14ac:dyDescent="0.2">
      <c r="P966" s="9"/>
    </row>
    <row r="967" spans="16:16" ht="12.75" x14ac:dyDescent="0.2">
      <c r="P967" s="9"/>
    </row>
    <row r="968" spans="16:16" ht="12.75" x14ac:dyDescent="0.2">
      <c r="P968" s="9"/>
    </row>
    <row r="969" spans="16:16" ht="12.75" x14ac:dyDescent="0.2">
      <c r="P969" s="9"/>
    </row>
    <row r="970" spans="16:16" ht="12.75" x14ac:dyDescent="0.2">
      <c r="P970" s="9"/>
    </row>
    <row r="971" spans="16:16" ht="12.75" x14ac:dyDescent="0.2">
      <c r="P971" s="9"/>
    </row>
    <row r="972" spans="16:16" ht="12.75" x14ac:dyDescent="0.2">
      <c r="P972" s="9"/>
    </row>
    <row r="973" spans="16:16" ht="12.75" x14ac:dyDescent="0.2">
      <c r="P973" s="9"/>
    </row>
    <row r="974" spans="16:16" ht="12.75" x14ac:dyDescent="0.2">
      <c r="P974" s="9"/>
    </row>
    <row r="975" spans="16:16" ht="12.75" x14ac:dyDescent="0.2">
      <c r="P975" s="9"/>
    </row>
    <row r="976" spans="16:16" ht="12.75" x14ac:dyDescent="0.2">
      <c r="P976" s="9"/>
    </row>
    <row r="977" spans="16:16" ht="12.75" x14ac:dyDescent="0.2">
      <c r="P977" s="9"/>
    </row>
    <row r="978" spans="16:16" ht="12.75" x14ac:dyDescent="0.2">
      <c r="P978" s="9"/>
    </row>
    <row r="979" spans="16:16" ht="12.75" x14ac:dyDescent="0.2">
      <c r="P979" s="9"/>
    </row>
    <row r="980" spans="16:16" ht="12.75" x14ac:dyDescent="0.2">
      <c r="P980" s="9"/>
    </row>
    <row r="981" spans="16:16" ht="12.75" x14ac:dyDescent="0.2">
      <c r="P981" s="9"/>
    </row>
    <row r="982" spans="16:16" ht="12.75" x14ac:dyDescent="0.2">
      <c r="P982" s="9"/>
    </row>
    <row r="983" spans="16:16" ht="12.75" x14ac:dyDescent="0.2">
      <c r="P983" s="9"/>
    </row>
    <row r="984" spans="16:16" ht="12.75" x14ac:dyDescent="0.2">
      <c r="P984" s="9"/>
    </row>
    <row r="985" spans="16:16" ht="12.75" x14ac:dyDescent="0.2">
      <c r="P985" s="9"/>
    </row>
    <row r="986" spans="16:16" ht="12.75" x14ac:dyDescent="0.2">
      <c r="P986" s="9"/>
    </row>
    <row r="987" spans="16:16" ht="12.75" x14ac:dyDescent="0.2">
      <c r="P987" s="9"/>
    </row>
    <row r="988" spans="16:16" ht="12.75" x14ac:dyDescent="0.2">
      <c r="P988" s="9"/>
    </row>
    <row r="989" spans="16:16" ht="12.75" x14ac:dyDescent="0.2">
      <c r="P989" s="9"/>
    </row>
    <row r="990" spans="16:16" ht="12.75" x14ac:dyDescent="0.2">
      <c r="P990" s="9"/>
    </row>
    <row r="991" spans="16:16" ht="12.75" x14ac:dyDescent="0.2">
      <c r="P991" s="9"/>
    </row>
    <row r="992" spans="16:16" ht="12.75" x14ac:dyDescent="0.2">
      <c r="P992" s="9"/>
    </row>
    <row r="993" spans="16:16" ht="12.75" x14ac:dyDescent="0.2">
      <c r="P993" s="9"/>
    </row>
    <row r="994" spans="16:16" ht="12.75" x14ac:dyDescent="0.2">
      <c r="P994" s="9"/>
    </row>
    <row r="995" spans="16:16" ht="12.75" x14ac:dyDescent="0.2">
      <c r="P995" s="9"/>
    </row>
    <row r="996" spans="16:16" ht="12.75" x14ac:dyDescent="0.2">
      <c r="P996" s="9"/>
    </row>
    <row r="997" spans="16:16" ht="12.75" x14ac:dyDescent="0.2">
      <c r="P997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G3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9.42578125" customWidth="1"/>
    <col min="2" max="2" width="17.7109375" customWidth="1"/>
    <col min="3" max="3" width="17.28515625" customWidth="1"/>
    <col min="4" max="4" width="16" customWidth="1"/>
    <col min="5" max="5" width="16.42578125" customWidth="1"/>
    <col min="6" max="6" width="12.42578125" customWidth="1"/>
    <col min="7" max="7" width="24.42578125" customWidth="1"/>
    <col min="8" max="8" width="20" customWidth="1"/>
  </cols>
  <sheetData>
    <row r="1" spans="1:7" ht="22.5" customHeight="1" x14ac:dyDescent="0.2">
      <c r="A1" s="11" t="s">
        <v>92</v>
      </c>
      <c r="B1" s="11" t="s">
        <v>231</v>
      </c>
      <c r="C1" s="11" t="s">
        <v>232</v>
      </c>
      <c r="D1" s="11" t="s">
        <v>1</v>
      </c>
      <c r="E1" s="11" t="s">
        <v>233</v>
      </c>
      <c r="F1" s="1" t="s">
        <v>234</v>
      </c>
      <c r="G1" s="1" t="s">
        <v>235</v>
      </c>
    </row>
    <row r="2" spans="1:7" ht="22.5" customHeight="1" x14ac:dyDescent="0.2">
      <c r="A2" s="5">
        <v>1</v>
      </c>
      <c r="B2" s="5" t="s">
        <v>236</v>
      </c>
      <c r="C2" s="7" t="s">
        <v>138</v>
      </c>
      <c r="D2" s="5" t="s">
        <v>54</v>
      </c>
      <c r="E2" s="12">
        <v>1300</v>
      </c>
      <c r="F2" s="12">
        <f t="shared" ref="F2:F9" si="0">E2/2</f>
        <v>650</v>
      </c>
      <c r="G2" s="12">
        <v>1300</v>
      </c>
    </row>
    <row r="3" spans="1:7" ht="22.5" customHeight="1" x14ac:dyDescent="0.2">
      <c r="A3" s="5">
        <v>2</v>
      </c>
      <c r="B3" s="5" t="s">
        <v>237</v>
      </c>
      <c r="C3" s="7" t="s">
        <v>140</v>
      </c>
      <c r="D3" s="5" t="s">
        <v>54</v>
      </c>
      <c r="E3" s="12">
        <v>1300</v>
      </c>
      <c r="F3" s="12">
        <f t="shared" si="0"/>
        <v>650</v>
      </c>
      <c r="G3" s="12">
        <v>1300</v>
      </c>
    </row>
    <row r="4" spans="1:7" ht="22.5" customHeight="1" x14ac:dyDescent="0.2">
      <c r="A4" s="5">
        <v>3</v>
      </c>
      <c r="B4" s="5" t="s">
        <v>238</v>
      </c>
      <c r="C4" s="7" t="s">
        <v>142</v>
      </c>
      <c r="D4" s="5" t="s">
        <v>54</v>
      </c>
      <c r="E4" s="12">
        <v>1300</v>
      </c>
      <c r="F4" s="12">
        <f t="shared" si="0"/>
        <v>650</v>
      </c>
      <c r="G4" s="12">
        <v>1300</v>
      </c>
    </row>
    <row r="5" spans="1:7" ht="22.5" customHeight="1" x14ac:dyDescent="0.2">
      <c r="A5" s="5">
        <v>4</v>
      </c>
      <c r="B5" s="5" t="s">
        <v>239</v>
      </c>
      <c r="C5" s="7" t="s">
        <v>144</v>
      </c>
      <c r="D5" s="5" t="s">
        <v>54</v>
      </c>
      <c r="E5" s="12">
        <v>1300</v>
      </c>
      <c r="F5" s="12">
        <f t="shared" si="0"/>
        <v>650</v>
      </c>
      <c r="G5" s="12">
        <v>1300</v>
      </c>
    </row>
    <row r="6" spans="1:7" ht="22.5" customHeight="1" x14ac:dyDescent="0.2">
      <c r="A6" s="5">
        <v>5</v>
      </c>
      <c r="B6" s="5" t="s">
        <v>240</v>
      </c>
      <c r="C6" s="7" t="s">
        <v>146</v>
      </c>
      <c r="D6" s="5" t="s">
        <v>54</v>
      </c>
      <c r="E6" s="12">
        <v>1300</v>
      </c>
      <c r="F6" s="12">
        <f t="shared" si="0"/>
        <v>650</v>
      </c>
      <c r="G6" s="12">
        <v>1300</v>
      </c>
    </row>
    <row r="7" spans="1:7" ht="22.5" customHeight="1" x14ac:dyDescent="0.2">
      <c r="A7" s="5">
        <v>6</v>
      </c>
      <c r="B7" s="5" t="s">
        <v>241</v>
      </c>
      <c r="C7" s="7" t="s">
        <v>148</v>
      </c>
      <c r="D7" s="5" t="s">
        <v>54</v>
      </c>
      <c r="E7" s="12">
        <v>1300</v>
      </c>
      <c r="F7" s="12">
        <f t="shared" si="0"/>
        <v>650</v>
      </c>
      <c r="G7" s="12">
        <v>1300</v>
      </c>
    </row>
    <row r="8" spans="1:7" ht="22.5" customHeight="1" x14ac:dyDescent="0.2">
      <c r="A8" s="5">
        <v>7</v>
      </c>
      <c r="B8" s="5" t="s">
        <v>242</v>
      </c>
      <c r="C8" s="7" t="s">
        <v>243</v>
      </c>
      <c r="D8" s="5" t="s">
        <v>110</v>
      </c>
      <c r="E8" s="12">
        <v>1300</v>
      </c>
      <c r="F8" s="12">
        <f t="shared" si="0"/>
        <v>650</v>
      </c>
      <c r="G8" s="12">
        <v>750</v>
      </c>
    </row>
    <row r="9" spans="1:7" ht="22.5" customHeight="1" x14ac:dyDescent="0.2">
      <c r="A9" s="5">
        <v>8</v>
      </c>
      <c r="B9" s="5" t="s">
        <v>244</v>
      </c>
      <c r="C9" s="7" t="s">
        <v>245</v>
      </c>
      <c r="D9" s="5" t="s">
        <v>110</v>
      </c>
      <c r="E9" s="12">
        <v>1300</v>
      </c>
      <c r="F9" s="12">
        <f t="shared" si="0"/>
        <v>650</v>
      </c>
      <c r="G9" s="12">
        <v>750</v>
      </c>
    </row>
    <row r="10" spans="1:7" ht="22.5" customHeight="1" x14ac:dyDescent="0.2">
      <c r="A10" s="5">
        <v>9</v>
      </c>
      <c r="B10" s="5" t="s">
        <v>246</v>
      </c>
      <c r="C10" s="7" t="s">
        <v>247</v>
      </c>
      <c r="D10" s="5" t="s">
        <v>111</v>
      </c>
      <c r="E10" s="13">
        <v>1000</v>
      </c>
      <c r="F10" s="12">
        <f>E11/2</f>
        <v>650</v>
      </c>
      <c r="G10" s="12">
        <v>500</v>
      </c>
    </row>
    <row r="11" spans="1:7" ht="22.5" customHeight="1" x14ac:dyDescent="0.2">
      <c r="A11" s="5">
        <v>10</v>
      </c>
      <c r="B11" s="5" t="s">
        <v>248</v>
      </c>
      <c r="C11" s="7" t="s">
        <v>135</v>
      </c>
      <c r="D11" s="5" t="s">
        <v>110</v>
      </c>
      <c r="E11" s="12">
        <v>1300</v>
      </c>
      <c r="F11" s="12">
        <f t="shared" ref="F11:F34" si="1">E11/2</f>
        <v>650</v>
      </c>
      <c r="G11" s="12">
        <v>750</v>
      </c>
    </row>
    <row r="12" spans="1:7" ht="22.5" customHeight="1" x14ac:dyDescent="0.2">
      <c r="A12" s="5">
        <v>11</v>
      </c>
      <c r="B12" s="5" t="s">
        <v>249</v>
      </c>
      <c r="C12" s="7" t="s">
        <v>136</v>
      </c>
      <c r="D12" s="5" t="s">
        <v>111</v>
      </c>
      <c r="E12" s="12">
        <v>1000</v>
      </c>
      <c r="F12" s="12">
        <f t="shared" si="1"/>
        <v>500</v>
      </c>
      <c r="G12" s="12">
        <v>500</v>
      </c>
    </row>
    <row r="13" spans="1:7" ht="22.5" customHeight="1" x14ac:dyDescent="0.2">
      <c r="A13" s="5">
        <v>12</v>
      </c>
      <c r="B13" s="5" t="s">
        <v>250</v>
      </c>
      <c r="C13" s="7" t="s">
        <v>137</v>
      </c>
      <c r="D13" s="5" t="s">
        <v>111</v>
      </c>
      <c r="E13" s="12">
        <v>1000</v>
      </c>
      <c r="F13" s="12">
        <f t="shared" si="1"/>
        <v>500</v>
      </c>
      <c r="G13" s="12">
        <v>500</v>
      </c>
    </row>
    <row r="14" spans="1:7" ht="22.5" customHeight="1" x14ac:dyDescent="0.2">
      <c r="A14" s="5">
        <v>13</v>
      </c>
      <c r="B14" s="5" t="s">
        <v>251</v>
      </c>
      <c r="C14" s="7" t="s">
        <v>159</v>
      </c>
      <c r="D14" s="5" t="s">
        <v>110</v>
      </c>
      <c r="E14" s="12">
        <v>1300</v>
      </c>
      <c r="F14" s="12">
        <f t="shared" si="1"/>
        <v>650</v>
      </c>
      <c r="G14" s="12">
        <v>750</v>
      </c>
    </row>
    <row r="15" spans="1:7" ht="22.5" customHeight="1" x14ac:dyDescent="0.2">
      <c r="A15" s="5">
        <v>14</v>
      </c>
      <c r="B15" s="5" t="s">
        <v>252</v>
      </c>
      <c r="C15" s="7" t="s">
        <v>160</v>
      </c>
      <c r="D15" s="5" t="s">
        <v>54</v>
      </c>
      <c r="E15" s="12">
        <v>1300</v>
      </c>
      <c r="F15" s="12">
        <f t="shared" si="1"/>
        <v>650</v>
      </c>
      <c r="G15" s="12">
        <v>1300</v>
      </c>
    </row>
    <row r="16" spans="1:7" ht="22.5" customHeight="1" x14ac:dyDescent="0.2">
      <c r="A16" s="5">
        <v>15</v>
      </c>
      <c r="B16" s="5" t="s">
        <v>253</v>
      </c>
      <c r="C16" s="7" t="s">
        <v>254</v>
      </c>
      <c r="D16" s="5" t="s">
        <v>54</v>
      </c>
      <c r="E16" s="12">
        <v>1300</v>
      </c>
      <c r="F16" s="12">
        <f t="shared" si="1"/>
        <v>650</v>
      </c>
      <c r="G16" s="12">
        <v>1300</v>
      </c>
    </row>
    <row r="17" spans="1:7" ht="22.5" customHeight="1" x14ac:dyDescent="0.2">
      <c r="A17" s="5">
        <v>16</v>
      </c>
      <c r="B17" s="5" t="s">
        <v>255</v>
      </c>
      <c r="C17" s="7" t="s">
        <v>162</v>
      </c>
      <c r="D17" s="5" t="s">
        <v>54</v>
      </c>
      <c r="E17" s="12">
        <v>1300</v>
      </c>
      <c r="F17" s="12">
        <f t="shared" si="1"/>
        <v>650</v>
      </c>
      <c r="G17" s="12">
        <v>1300</v>
      </c>
    </row>
    <row r="18" spans="1:7" ht="22.5" customHeight="1" x14ac:dyDescent="0.2">
      <c r="A18" s="5">
        <v>17</v>
      </c>
      <c r="B18" s="5" t="s">
        <v>256</v>
      </c>
      <c r="C18" s="7" t="s">
        <v>163</v>
      </c>
      <c r="D18" s="5" t="s">
        <v>54</v>
      </c>
      <c r="E18" s="12">
        <v>1300</v>
      </c>
      <c r="F18" s="12">
        <f t="shared" si="1"/>
        <v>650</v>
      </c>
      <c r="G18" s="12">
        <v>1300</v>
      </c>
    </row>
    <row r="19" spans="1:7" ht="22.5" customHeight="1" x14ac:dyDescent="0.2">
      <c r="A19" s="5">
        <v>18</v>
      </c>
      <c r="B19" s="5" t="s">
        <v>257</v>
      </c>
      <c r="C19" s="7" t="s">
        <v>164</v>
      </c>
      <c r="D19" s="5" t="s">
        <v>54</v>
      </c>
      <c r="E19" s="12">
        <v>1300</v>
      </c>
      <c r="F19" s="12">
        <f t="shared" si="1"/>
        <v>650</v>
      </c>
      <c r="G19" s="12">
        <v>1300</v>
      </c>
    </row>
    <row r="20" spans="1:7" ht="22.5" customHeight="1" x14ac:dyDescent="0.2">
      <c r="A20" s="5">
        <v>19</v>
      </c>
      <c r="B20" s="5" t="s">
        <v>258</v>
      </c>
      <c r="C20" s="7" t="s">
        <v>165</v>
      </c>
      <c r="D20" s="5" t="s">
        <v>54</v>
      </c>
      <c r="E20" s="12">
        <v>1300</v>
      </c>
      <c r="F20" s="12">
        <f t="shared" si="1"/>
        <v>650</v>
      </c>
      <c r="G20" s="12">
        <v>1300</v>
      </c>
    </row>
    <row r="21" spans="1:7" ht="22.5" customHeight="1" x14ac:dyDescent="0.2">
      <c r="A21" s="5">
        <v>20</v>
      </c>
      <c r="B21" s="5" t="s">
        <v>259</v>
      </c>
      <c r="C21" s="7" t="s">
        <v>260</v>
      </c>
      <c r="D21" s="5" t="s">
        <v>54</v>
      </c>
      <c r="E21" s="12">
        <v>1300</v>
      </c>
      <c r="F21" s="12">
        <f t="shared" si="1"/>
        <v>650</v>
      </c>
      <c r="G21" s="12">
        <v>1300</v>
      </c>
    </row>
    <row r="22" spans="1:7" ht="22.5" customHeight="1" x14ac:dyDescent="0.2">
      <c r="A22" s="5">
        <v>21</v>
      </c>
      <c r="B22" s="5" t="s">
        <v>261</v>
      </c>
      <c r="C22" s="7" t="s">
        <v>167</v>
      </c>
      <c r="D22" s="5" t="s">
        <v>54</v>
      </c>
      <c r="E22" s="12">
        <v>1300</v>
      </c>
      <c r="F22" s="12">
        <f t="shared" si="1"/>
        <v>650</v>
      </c>
      <c r="G22" s="12">
        <v>1300</v>
      </c>
    </row>
    <row r="23" spans="1:7" ht="22.5" customHeight="1" x14ac:dyDescent="0.2">
      <c r="A23" s="5">
        <v>22</v>
      </c>
      <c r="B23" s="5" t="s">
        <v>262</v>
      </c>
      <c r="C23" s="7" t="s">
        <v>263</v>
      </c>
      <c r="D23" s="5" t="s">
        <v>54</v>
      </c>
      <c r="E23" s="12">
        <v>1300</v>
      </c>
      <c r="F23" s="12">
        <f t="shared" si="1"/>
        <v>650</v>
      </c>
      <c r="G23" s="12">
        <v>1300</v>
      </c>
    </row>
    <row r="24" spans="1:7" ht="22.5" customHeight="1" x14ac:dyDescent="0.2">
      <c r="A24" s="5">
        <v>23</v>
      </c>
      <c r="B24" s="5" t="s">
        <v>264</v>
      </c>
      <c r="C24" s="7" t="s">
        <v>265</v>
      </c>
      <c r="D24" s="5" t="s">
        <v>54</v>
      </c>
      <c r="E24" s="12">
        <v>1300</v>
      </c>
      <c r="F24" s="12">
        <f t="shared" si="1"/>
        <v>650</v>
      </c>
      <c r="G24" s="12">
        <v>1300</v>
      </c>
    </row>
    <row r="25" spans="1:7" ht="22.5" customHeight="1" x14ac:dyDescent="0.2">
      <c r="A25" s="5">
        <v>24</v>
      </c>
      <c r="B25" s="5" t="s">
        <v>266</v>
      </c>
      <c r="C25" s="7" t="s">
        <v>267</v>
      </c>
      <c r="D25" s="14" t="s">
        <v>54</v>
      </c>
      <c r="E25" s="12">
        <v>1300</v>
      </c>
      <c r="F25" s="12">
        <f t="shared" si="1"/>
        <v>650</v>
      </c>
      <c r="G25" s="12">
        <v>1300</v>
      </c>
    </row>
    <row r="26" spans="1:7" ht="22.5" customHeight="1" x14ac:dyDescent="0.2">
      <c r="A26" s="5">
        <v>25</v>
      </c>
      <c r="B26" s="5" t="s">
        <v>268</v>
      </c>
      <c r="C26" s="7" t="s">
        <v>159</v>
      </c>
      <c r="D26" s="15" t="s">
        <v>54</v>
      </c>
      <c r="E26" s="12">
        <v>1300</v>
      </c>
      <c r="F26" s="12">
        <f t="shared" si="1"/>
        <v>650</v>
      </c>
      <c r="G26" s="12">
        <v>1300</v>
      </c>
    </row>
    <row r="27" spans="1:7" ht="22.5" customHeight="1" x14ac:dyDescent="0.2">
      <c r="A27" s="5">
        <v>26</v>
      </c>
      <c r="B27" s="5" t="s">
        <v>269</v>
      </c>
      <c r="C27" s="7" t="s">
        <v>270</v>
      </c>
      <c r="D27" s="16" t="s">
        <v>54</v>
      </c>
      <c r="E27" s="12">
        <v>1300</v>
      </c>
      <c r="F27" s="12">
        <f t="shared" si="1"/>
        <v>650</v>
      </c>
      <c r="G27" s="12">
        <v>1300</v>
      </c>
    </row>
    <row r="28" spans="1:7" ht="22.5" customHeight="1" x14ac:dyDescent="0.2">
      <c r="A28" s="5">
        <v>27</v>
      </c>
      <c r="B28" s="5" t="s">
        <v>271</v>
      </c>
      <c r="C28" s="7" t="s">
        <v>272</v>
      </c>
      <c r="D28" s="5" t="s">
        <v>273</v>
      </c>
      <c r="E28" s="12">
        <v>1300</v>
      </c>
      <c r="F28" s="12">
        <f t="shared" si="1"/>
        <v>650</v>
      </c>
      <c r="G28" s="12">
        <v>500</v>
      </c>
    </row>
    <row r="29" spans="1:7" ht="22.5" customHeight="1" x14ac:dyDescent="0.2">
      <c r="A29" s="5">
        <v>28</v>
      </c>
      <c r="B29" s="5" t="s">
        <v>274</v>
      </c>
      <c r="C29" s="7" t="s">
        <v>275</v>
      </c>
      <c r="D29" s="5" t="s">
        <v>273</v>
      </c>
      <c r="E29" s="12">
        <v>1300</v>
      </c>
      <c r="F29" s="12">
        <f t="shared" si="1"/>
        <v>650</v>
      </c>
      <c r="G29" s="12">
        <v>500</v>
      </c>
    </row>
    <row r="30" spans="1:7" ht="22.5" customHeight="1" x14ac:dyDescent="0.2">
      <c r="A30" s="5">
        <v>29</v>
      </c>
      <c r="B30" s="5" t="s">
        <v>276</v>
      </c>
      <c r="C30" s="7" t="s">
        <v>277</v>
      </c>
      <c r="D30" s="5" t="s">
        <v>273</v>
      </c>
      <c r="E30" s="12">
        <v>1300</v>
      </c>
      <c r="F30" s="12">
        <f t="shared" si="1"/>
        <v>650</v>
      </c>
      <c r="G30" s="12">
        <v>500</v>
      </c>
    </row>
    <row r="31" spans="1:7" ht="22.5" customHeight="1" x14ac:dyDescent="0.2">
      <c r="A31" s="5">
        <v>30</v>
      </c>
      <c r="B31" s="5" t="s">
        <v>278</v>
      </c>
      <c r="C31" s="7" t="s">
        <v>178</v>
      </c>
      <c r="D31" s="5" t="s">
        <v>273</v>
      </c>
      <c r="E31" s="12">
        <v>1300</v>
      </c>
      <c r="F31" s="12">
        <f t="shared" si="1"/>
        <v>650</v>
      </c>
      <c r="G31" s="12">
        <v>500</v>
      </c>
    </row>
    <row r="32" spans="1:7" ht="22.5" customHeight="1" x14ac:dyDescent="0.2">
      <c r="A32" s="5">
        <v>31</v>
      </c>
      <c r="B32" s="5" t="s">
        <v>279</v>
      </c>
      <c r="C32" s="7" t="s">
        <v>280</v>
      </c>
      <c r="D32" s="5" t="s">
        <v>273</v>
      </c>
      <c r="E32" s="12">
        <v>1300</v>
      </c>
      <c r="F32" s="17">
        <f t="shared" si="1"/>
        <v>650</v>
      </c>
      <c r="G32" s="12">
        <v>500</v>
      </c>
    </row>
    <row r="33" spans="1:7" ht="22.5" customHeight="1" x14ac:dyDescent="0.2">
      <c r="A33" s="6"/>
      <c r="B33" s="6"/>
      <c r="C33" s="8"/>
      <c r="D33" s="18" t="s">
        <v>281</v>
      </c>
      <c r="E33" s="19">
        <f>SUM(E2:E32)</f>
        <v>39400</v>
      </c>
      <c r="F33" s="19">
        <f t="shared" si="1"/>
        <v>19700</v>
      </c>
      <c r="G33" s="19">
        <f>SUM(G2:G32)</f>
        <v>31700</v>
      </c>
    </row>
    <row r="34" spans="1:7" ht="22.5" customHeight="1" x14ac:dyDescent="0.2">
      <c r="A34" s="6"/>
      <c r="B34" s="6"/>
      <c r="C34" s="8"/>
      <c r="D34" s="18" t="s">
        <v>282</v>
      </c>
      <c r="E34" s="19">
        <f>E33*6</f>
        <v>236400</v>
      </c>
      <c r="F34" s="19">
        <f t="shared" si="1"/>
        <v>118200</v>
      </c>
      <c r="G34" s="19">
        <f>G33*6</f>
        <v>190200</v>
      </c>
    </row>
    <row r="35" spans="1:7" ht="22.5" customHeight="1" x14ac:dyDescent="0.2">
      <c r="A35" s="6"/>
      <c r="B35" s="6"/>
      <c r="C35" s="6"/>
      <c r="D35" s="18" t="s">
        <v>283</v>
      </c>
      <c r="E35" s="20">
        <f>SUM(E34,F34,G34)</f>
        <v>544800</v>
      </c>
      <c r="F35" s="21"/>
      <c r="G35" s="21"/>
    </row>
  </sheetData>
  <dataValidations count="2">
    <dataValidation type="custom" allowBlank="1" showDropDown="1" sqref="E2:G34" xr:uid="{00000000-0002-0000-0300-000000000000}">
      <formula1>AND(ISNUMBER(E2),(NOT(OR(NOT(ISERROR(DATEVALUE(E2))), AND(ISNUMBER(E2), LEFT(CELL("format", E2))="D")))))</formula1>
    </dataValidation>
    <dataValidation allowBlank="1" showDropDown="1" sqref="C2:C34" xr:uid="{00000000-0002-0000-0300-000001000000}"/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447"/>
  <sheetViews>
    <sheetView workbookViewId="0"/>
  </sheetViews>
  <sheetFormatPr defaultColWidth="12.5703125" defaultRowHeight="15.75" customHeight="1" x14ac:dyDescent="0.2"/>
  <cols>
    <col min="1" max="1" width="15.42578125" customWidth="1"/>
    <col min="2" max="2" width="17.5703125" customWidth="1"/>
    <col min="3" max="3" width="16.42578125" customWidth="1"/>
    <col min="4" max="5" width="18.42578125" customWidth="1"/>
    <col min="6" max="6" width="13.7109375" customWidth="1"/>
    <col min="7" max="7" width="13.42578125" customWidth="1"/>
    <col min="8" max="8" width="13.140625" customWidth="1"/>
    <col min="9" max="9" width="13.85546875" customWidth="1"/>
    <col min="10" max="10" width="16.42578125" customWidth="1"/>
    <col min="11" max="11" width="14.5703125" customWidth="1"/>
    <col min="12" max="12" width="15.42578125" customWidth="1"/>
    <col min="13" max="28" width="18.42578125" customWidth="1"/>
  </cols>
  <sheetData>
    <row r="1" spans="1:28" ht="15.75" customHeight="1" x14ac:dyDescent="0.35">
      <c r="A1" s="22" t="s">
        <v>93</v>
      </c>
      <c r="B1" s="23" t="s">
        <v>94</v>
      </c>
      <c r="C1" s="23" t="s">
        <v>1</v>
      </c>
      <c r="D1" s="24" t="s">
        <v>284</v>
      </c>
      <c r="E1" s="24" t="s">
        <v>285</v>
      </c>
      <c r="F1" s="24" t="s">
        <v>286</v>
      </c>
      <c r="G1" s="24" t="s">
        <v>287</v>
      </c>
      <c r="H1" s="24" t="s">
        <v>286</v>
      </c>
      <c r="I1" s="24" t="s">
        <v>287</v>
      </c>
      <c r="J1" s="24" t="s">
        <v>288</v>
      </c>
      <c r="K1" s="24" t="s">
        <v>234</v>
      </c>
      <c r="L1" s="25" t="s">
        <v>289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15.75" customHeight="1" x14ac:dyDescent="0.35">
      <c r="A2" s="148" t="s">
        <v>14</v>
      </c>
      <c r="B2" s="145" t="s">
        <v>290</v>
      </c>
      <c r="C2" s="145" t="s">
        <v>16</v>
      </c>
      <c r="D2" s="27">
        <v>46100</v>
      </c>
      <c r="E2" s="28" t="s">
        <v>291</v>
      </c>
      <c r="F2" s="29">
        <v>0.3125</v>
      </c>
      <c r="G2" s="29">
        <v>0.54166666666666663</v>
      </c>
      <c r="H2" s="29">
        <v>0.58333333333333337</v>
      </c>
      <c r="I2" s="29">
        <v>0.75347222222222221</v>
      </c>
      <c r="J2" s="30">
        <f t="shared" ref="J2:J8" si="0">(((I2-H2)+(G2-F2))*24)</f>
        <v>9.5833333333333321</v>
      </c>
      <c r="K2" s="30">
        <f t="shared" ref="K2:K4" si="1">J2-8</f>
        <v>1.5833333333333321</v>
      </c>
      <c r="L2" s="31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35">
      <c r="A3" s="149"/>
      <c r="B3" s="146"/>
      <c r="C3" s="146"/>
      <c r="D3" s="27">
        <v>46101</v>
      </c>
      <c r="E3" s="28" t="s">
        <v>292</v>
      </c>
      <c r="F3" s="29">
        <v>0.2902777777777778</v>
      </c>
      <c r="G3" s="29">
        <v>0.54166666666666663</v>
      </c>
      <c r="H3" s="29">
        <v>0.58333333333333337</v>
      </c>
      <c r="I3" s="29">
        <v>0.75347222222222221</v>
      </c>
      <c r="J3" s="30">
        <f t="shared" si="0"/>
        <v>10.116666666666664</v>
      </c>
      <c r="K3" s="30">
        <f t="shared" si="1"/>
        <v>2.1166666666666636</v>
      </c>
      <c r="L3" s="31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35">
      <c r="A4" s="149"/>
      <c r="B4" s="146"/>
      <c r="C4" s="146"/>
      <c r="D4" s="27">
        <v>46102</v>
      </c>
      <c r="E4" s="28" t="s">
        <v>293</v>
      </c>
      <c r="F4" s="29">
        <v>0.29166666666666669</v>
      </c>
      <c r="G4" s="29">
        <v>0.54166666666666663</v>
      </c>
      <c r="H4" s="29">
        <v>0.58333333333333337</v>
      </c>
      <c r="I4" s="29">
        <v>0.77083333333333337</v>
      </c>
      <c r="J4" s="30">
        <f t="shared" si="0"/>
        <v>10.499999999999998</v>
      </c>
      <c r="K4" s="30">
        <f t="shared" si="1"/>
        <v>2.4999999999999982</v>
      </c>
      <c r="L4" s="31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35">
      <c r="A5" s="149"/>
      <c r="B5" s="146"/>
      <c r="C5" s="146"/>
      <c r="D5" s="27">
        <v>46103</v>
      </c>
      <c r="E5" s="28" t="s">
        <v>294</v>
      </c>
      <c r="F5" s="29"/>
      <c r="G5" s="29"/>
      <c r="H5" s="29"/>
      <c r="I5" s="29"/>
      <c r="J5" s="30">
        <f t="shared" si="0"/>
        <v>0</v>
      </c>
      <c r="K5" s="28"/>
      <c r="L5" s="31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15.75" customHeight="1" x14ac:dyDescent="0.35">
      <c r="A6" s="149"/>
      <c r="B6" s="146"/>
      <c r="C6" s="146"/>
      <c r="D6" s="27">
        <v>46104</v>
      </c>
      <c r="E6" s="28" t="s">
        <v>295</v>
      </c>
      <c r="F6" s="29">
        <v>0.29166666666666669</v>
      </c>
      <c r="G6" s="29">
        <v>0.54166666666666663</v>
      </c>
      <c r="H6" s="29">
        <v>0.58333333333333337</v>
      </c>
      <c r="I6" s="29">
        <v>0.75694444444444442</v>
      </c>
      <c r="J6" s="30">
        <f t="shared" si="0"/>
        <v>10.166666666666664</v>
      </c>
      <c r="K6" s="30">
        <f t="shared" ref="K6:K8" si="2">J6-8</f>
        <v>2.1666666666666643</v>
      </c>
      <c r="L6" s="31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5.75" customHeight="1" x14ac:dyDescent="0.35">
      <c r="A7" s="149"/>
      <c r="B7" s="146"/>
      <c r="C7" s="146"/>
      <c r="D7" s="27">
        <v>46105</v>
      </c>
      <c r="E7" s="28" t="s">
        <v>296</v>
      </c>
      <c r="F7" s="29">
        <v>0.29166666666666669</v>
      </c>
      <c r="G7" s="29">
        <v>0.54166666666666663</v>
      </c>
      <c r="H7" s="29">
        <v>0.58333333333333337</v>
      </c>
      <c r="I7" s="29">
        <v>0.79166666666666663</v>
      </c>
      <c r="J7" s="30">
        <f t="shared" si="0"/>
        <v>10.999999999999996</v>
      </c>
      <c r="K7" s="30">
        <f t="shared" si="2"/>
        <v>2.9999999999999964</v>
      </c>
      <c r="L7" s="31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15.75" customHeight="1" x14ac:dyDescent="0.35">
      <c r="A8" s="149"/>
      <c r="B8" s="146"/>
      <c r="C8" s="146"/>
      <c r="D8" s="27">
        <v>46106</v>
      </c>
      <c r="E8" s="28" t="s">
        <v>297</v>
      </c>
      <c r="F8" s="29">
        <v>0.29166666666666669</v>
      </c>
      <c r="G8" s="29">
        <v>0.54166666666666663</v>
      </c>
      <c r="H8" s="29">
        <v>0.58333333333333337</v>
      </c>
      <c r="I8" s="29">
        <v>0.79166666666666663</v>
      </c>
      <c r="J8" s="30">
        <f t="shared" si="0"/>
        <v>10.999999999999996</v>
      </c>
      <c r="K8" s="32">
        <f t="shared" si="2"/>
        <v>2.9999999999999964</v>
      </c>
      <c r="L8" s="33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15.75" customHeight="1" x14ac:dyDescent="0.35">
      <c r="A9" s="149"/>
      <c r="B9" s="146"/>
      <c r="C9" s="146"/>
      <c r="D9" s="27"/>
      <c r="E9" s="28"/>
      <c r="F9" s="28"/>
      <c r="G9" s="28"/>
      <c r="H9" s="26"/>
      <c r="I9" s="34" t="s">
        <v>298</v>
      </c>
      <c r="J9" s="35">
        <v>1320</v>
      </c>
      <c r="K9" s="34"/>
      <c r="L9" s="3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ht="15.75" customHeight="1" x14ac:dyDescent="0.35">
      <c r="A10" s="149"/>
      <c r="B10" s="146"/>
      <c r="C10" s="146"/>
      <c r="D10" s="27"/>
      <c r="E10" s="28"/>
      <c r="F10" s="28"/>
      <c r="G10" s="28"/>
      <c r="H10" s="37"/>
      <c r="I10" s="34" t="s">
        <v>299</v>
      </c>
      <c r="J10" s="35">
        <f>J9*(COUNTIF(J2:J8, "&gt;0.00"))</f>
        <v>7920</v>
      </c>
      <c r="K10" s="35">
        <f>(J9/8)*(SUM(K2:K8))</f>
        <v>2370.4999999999973</v>
      </c>
      <c r="L10" s="36">
        <f>SUM(L2:L8)</f>
        <v>0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ht="15.75" customHeight="1" x14ac:dyDescent="0.35">
      <c r="A11" s="150"/>
      <c r="B11" s="147"/>
      <c r="C11" s="147"/>
      <c r="D11" s="38"/>
      <c r="E11" s="39"/>
      <c r="F11" s="39"/>
      <c r="G11" s="39"/>
      <c r="H11" s="40"/>
      <c r="I11" s="41" t="s">
        <v>300</v>
      </c>
      <c r="J11" s="42">
        <f>SUM(J10:K10)-L10</f>
        <v>10290.499999999996</v>
      </c>
      <c r="K11" s="34"/>
      <c r="L11" s="3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ht="15.75" customHeight="1" x14ac:dyDescent="0.35">
      <c r="A12" s="43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44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ht="15.75" customHeight="1" x14ac:dyDescent="0.35">
      <c r="A13" s="22" t="s">
        <v>93</v>
      </c>
      <c r="B13" s="23" t="s">
        <v>94</v>
      </c>
      <c r="C13" s="23" t="s">
        <v>1</v>
      </c>
      <c r="D13" s="24" t="s">
        <v>284</v>
      </c>
      <c r="E13" s="24" t="s">
        <v>285</v>
      </c>
      <c r="F13" s="24" t="s">
        <v>286</v>
      </c>
      <c r="G13" s="24" t="s">
        <v>287</v>
      </c>
      <c r="H13" s="24" t="s">
        <v>286</v>
      </c>
      <c r="I13" s="24" t="s">
        <v>287</v>
      </c>
      <c r="J13" s="24" t="s">
        <v>288</v>
      </c>
      <c r="K13" s="24" t="s">
        <v>234</v>
      </c>
      <c r="L13" s="25" t="s">
        <v>289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15.75" customHeight="1" x14ac:dyDescent="0.35">
      <c r="A14" s="148" t="s">
        <v>22</v>
      </c>
      <c r="B14" s="145" t="s">
        <v>23</v>
      </c>
      <c r="C14" s="145" t="s">
        <v>110</v>
      </c>
      <c r="D14" s="27">
        <v>46100</v>
      </c>
      <c r="E14" s="28" t="s">
        <v>291</v>
      </c>
      <c r="F14" s="29">
        <v>0.29166666666666669</v>
      </c>
      <c r="G14" s="29">
        <v>0.54166666666666663</v>
      </c>
      <c r="H14" s="29">
        <v>0.58333333333333337</v>
      </c>
      <c r="I14" s="29">
        <v>0.75347222222222221</v>
      </c>
      <c r="J14" s="30">
        <f t="shared" ref="J14:J20" si="3">(((I14-H14)+(G14-F14))*24)</f>
        <v>10.08333333333333</v>
      </c>
      <c r="K14" s="30">
        <f t="shared" ref="K14:K16" si="4">J14-8</f>
        <v>2.0833333333333304</v>
      </c>
      <c r="L14" s="45">
        <v>275</v>
      </c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15.75" customHeight="1" x14ac:dyDescent="0.35">
      <c r="A15" s="149"/>
      <c r="B15" s="146"/>
      <c r="C15" s="146"/>
      <c r="D15" s="27">
        <v>46101</v>
      </c>
      <c r="E15" s="28" t="s">
        <v>292</v>
      </c>
      <c r="F15" s="29">
        <v>0.29097222222222224</v>
      </c>
      <c r="G15" s="29">
        <v>0.54166666666666663</v>
      </c>
      <c r="H15" s="29">
        <v>0.58333333333333337</v>
      </c>
      <c r="I15" s="29">
        <v>0.75347222222222221</v>
      </c>
      <c r="J15" s="30">
        <f t="shared" si="3"/>
        <v>10.099999999999998</v>
      </c>
      <c r="K15" s="30">
        <f t="shared" si="4"/>
        <v>2.0999999999999979</v>
      </c>
      <c r="L15" s="45">
        <f>137.5</f>
        <v>137.5</v>
      </c>
      <c r="M15" s="4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15.75" customHeight="1" x14ac:dyDescent="0.35">
      <c r="A16" s="149"/>
      <c r="B16" s="146"/>
      <c r="C16" s="146"/>
      <c r="D16" s="27">
        <v>46102</v>
      </c>
      <c r="E16" s="28" t="s">
        <v>293</v>
      </c>
      <c r="F16" s="29">
        <v>0.29166666666666669</v>
      </c>
      <c r="G16" s="29">
        <v>0.54166666666666663</v>
      </c>
      <c r="H16" s="29">
        <v>0.58333333333333337</v>
      </c>
      <c r="I16" s="29">
        <v>0.77083333333333337</v>
      </c>
      <c r="J16" s="30">
        <f t="shared" si="3"/>
        <v>10.499999999999998</v>
      </c>
      <c r="K16" s="30">
        <f t="shared" si="4"/>
        <v>2.4999999999999982</v>
      </c>
      <c r="L16" s="47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ht="15.75" customHeight="1" x14ac:dyDescent="0.35">
      <c r="A17" s="149"/>
      <c r="B17" s="146"/>
      <c r="C17" s="146"/>
      <c r="D17" s="27">
        <v>46103</v>
      </c>
      <c r="E17" s="28" t="s">
        <v>294</v>
      </c>
      <c r="F17" s="29"/>
      <c r="G17" s="29"/>
      <c r="H17" s="29"/>
      <c r="I17" s="29"/>
      <c r="J17" s="30">
        <f t="shared" si="3"/>
        <v>0</v>
      </c>
      <c r="K17" s="28"/>
      <c r="L17" s="47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15.75" customHeight="1" x14ac:dyDescent="0.35">
      <c r="A18" s="149"/>
      <c r="B18" s="146"/>
      <c r="C18" s="146"/>
      <c r="D18" s="27">
        <v>46104</v>
      </c>
      <c r="E18" s="28" t="s">
        <v>295</v>
      </c>
      <c r="F18" s="29">
        <v>0.29166666666666669</v>
      </c>
      <c r="G18" s="29">
        <v>0.54166666666666663</v>
      </c>
      <c r="H18" s="29">
        <v>0.58333333333333337</v>
      </c>
      <c r="I18" s="29">
        <v>0.75694444444444442</v>
      </c>
      <c r="J18" s="30">
        <f t="shared" si="3"/>
        <v>10.166666666666664</v>
      </c>
      <c r="K18" s="30">
        <f t="shared" ref="K18:K20" si="5">J18-8</f>
        <v>2.1666666666666643</v>
      </c>
      <c r="L18" s="4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15.75" customHeight="1" x14ac:dyDescent="0.35">
      <c r="A19" s="149"/>
      <c r="B19" s="146"/>
      <c r="C19" s="146"/>
      <c r="D19" s="27">
        <v>46105</v>
      </c>
      <c r="E19" s="28" t="s">
        <v>296</v>
      </c>
      <c r="F19" s="29">
        <v>0.29166666666666669</v>
      </c>
      <c r="G19" s="29">
        <v>0.54166666666666663</v>
      </c>
      <c r="H19" s="29">
        <v>0.58333333333333337</v>
      </c>
      <c r="I19" s="29">
        <v>0.77083333333333337</v>
      </c>
      <c r="J19" s="30">
        <f t="shared" si="3"/>
        <v>10.499999999999998</v>
      </c>
      <c r="K19" s="30">
        <f t="shared" si="5"/>
        <v>2.4999999999999982</v>
      </c>
      <c r="L19" s="47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15.75" customHeight="1" x14ac:dyDescent="0.35">
      <c r="A20" s="149"/>
      <c r="B20" s="146"/>
      <c r="C20" s="146"/>
      <c r="D20" s="27">
        <v>46106</v>
      </c>
      <c r="E20" s="28" t="s">
        <v>297</v>
      </c>
      <c r="F20" s="29">
        <v>0.29166666666666669</v>
      </c>
      <c r="G20" s="29">
        <v>0.54166666666666663</v>
      </c>
      <c r="H20" s="29">
        <v>0.58333333333333337</v>
      </c>
      <c r="I20" s="29">
        <v>0.79166666666666663</v>
      </c>
      <c r="J20" s="30">
        <f t="shared" si="3"/>
        <v>10.999999999999996</v>
      </c>
      <c r="K20" s="32">
        <f t="shared" si="5"/>
        <v>2.9999999999999964</v>
      </c>
      <c r="L20" s="48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15.75" customHeight="1" x14ac:dyDescent="0.35">
      <c r="A21" s="149"/>
      <c r="B21" s="146"/>
      <c r="C21" s="146"/>
      <c r="D21" s="27"/>
      <c r="E21" s="28"/>
      <c r="F21" s="28"/>
      <c r="G21" s="28"/>
      <c r="H21" s="26"/>
      <c r="I21" s="34" t="s">
        <v>298</v>
      </c>
      <c r="J21" s="35">
        <v>1100</v>
      </c>
      <c r="K21" s="34"/>
      <c r="L21" s="3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15.75" customHeight="1" x14ac:dyDescent="0.35">
      <c r="A22" s="149"/>
      <c r="B22" s="146"/>
      <c r="C22" s="146"/>
      <c r="D22" s="27"/>
      <c r="E22" s="28"/>
      <c r="F22" s="28"/>
      <c r="G22" s="28"/>
      <c r="H22" s="37"/>
      <c r="I22" s="34" t="s">
        <v>299</v>
      </c>
      <c r="J22" s="35">
        <f>J21*(COUNTIF(J14:J20, "&gt;0.00"))</f>
        <v>6600</v>
      </c>
      <c r="K22" s="35">
        <f>(J21/8)*(SUM(K14:K20))</f>
        <v>1973.124999999998</v>
      </c>
      <c r="L22" s="36">
        <f>SUM(L14:L20)</f>
        <v>412.5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15.75" customHeight="1" x14ac:dyDescent="0.35">
      <c r="A23" s="150"/>
      <c r="B23" s="147"/>
      <c r="C23" s="147"/>
      <c r="D23" s="38"/>
      <c r="E23" s="39"/>
      <c r="F23" s="39"/>
      <c r="G23" s="39"/>
      <c r="H23" s="40"/>
      <c r="I23" s="41" t="s">
        <v>300</v>
      </c>
      <c r="J23" s="42">
        <f>SUM(J22:K22)+L22</f>
        <v>8985.6249999999982</v>
      </c>
      <c r="K23" s="34"/>
      <c r="L23" s="3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15.75" customHeight="1" x14ac:dyDescent="0.35">
      <c r="A24" s="43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44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15.75" customHeight="1" x14ac:dyDescent="0.35">
      <c r="A25" s="22" t="s">
        <v>93</v>
      </c>
      <c r="B25" s="23" t="s">
        <v>94</v>
      </c>
      <c r="C25" s="23" t="s">
        <v>1</v>
      </c>
      <c r="D25" s="24" t="s">
        <v>284</v>
      </c>
      <c r="E25" s="24" t="s">
        <v>285</v>
      </c>
      <c r="F25" s="24" t="s">
        <v>286</v>
      </c>
      <c r="G25" s="24" t="s">
        <v>287</v>
      </c>
      <c r="H25" s="24" t="s">
        <v>286</v>
      </c>
      <c r="I25" s="24" t="s">
        <v>287</v>
      </c>
      <c r="J25" s="24" t="s">
        <v>288</v>
      </c>
      <c r="K25" s="24" t="s">
        <v>234</v>
      </c>
      <c r="L25" s="25" t="s">
        <v>289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15.75" customHeight="1" x14ac:dyDescent="0.35">
      <c r="A26" s="148" t="s">
        <v>24</v>
      </c>
      <c r="B26" s="145" t="s">
        <v>25</v>
      </c>
      <c r="C26" s="145" t="s">
        <v>301</v>
      </c>
      <c r="D26" s="27">
        <v>46100</v>
      </c>
      <c r="E26" s="28" t="s">
        <v>291</v>
      </c>
      <c r="F26" s="29">
        <v>0.29166666666666669</v>
      </c>
      <c r="G26" s="29">
        <v>0.54166666666666663</v>
      </c>
      <c r="H26" s="29">
        <v>0.58333333333333337</v>
      </c>
      <c r="I26" s="29">
        <v>0.75347222222222221</v>
      </c>
      <c r="J26" s="30">
        <f t="shared" ref="J26:J32" si="6">(((I26-H26)+(G26-F26))*24)</f>
        <v>10.08333333333333</v>
      </c>
      <c r="K26" s="30">
        <f t="shared" ref="K26:K28" si="7">J26-8</f>
        <v>2.0833333333333304</v>
      </c>
      <c r="L26" s="31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15.75" customHeight="1" x14ac:dyDescent="0.35">
      <c r="A27" s="149"/>
      <c r="B27" s="146"/>
      <c r="C27" s="146"/>
      <c r="D27" s="27">
        <v>46101</v>
      </c>
      <c r="E27" s="28" t="s">
        <v>292</v>
      </c>
      <c r="F27" s="29">
        <v>0.29166666666666669</v>
      </c>
      <c r="G27" s="29">
        <v>0.54166666666666663</v>
      </c>
      <c r="H27" s="29">
        <v>0.58333333333333337</v>
      </c>
      <c r="I27" s="29">
        <v>0.75347222222222221</v>
      </c>
      <c r="J27" s="30">
        <f t="shared" si="6"/>
        <v>10.08333333333333</v>
      </c>
      <c r="K27" s="30">
        <f t="shared" si="7"/>
        <v>2.0833333333333304</v>
      </c>
      <c r="L27" s="31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15.75" customHeight="1" x14ac:dyDescent="0.35">
      <c r="A28" s="149"/>
      <c r="B28" s="146"/>
      <c r="C28" s="146"/>
      <c r="D28" s="27">
        <v>46102</v>
      </c>
      <c r="E28" s="28" t="s">
        <v>293</v>
      </c>
      <c r="F28" s="29">
        <v>0.29166666666666669</v>
      </c>
      <c r="G28" s="29">
        <v>0.54166666666666663</v>
      </c>
      <c r="H28" s="29">
        <v>0.58333333333333337</v>
      </c>
      <c r="I28" s="29">
        <v>0.76388888888888884</v>
      </c>
      <c r="J28" s="30">
        <f t="shared" si="6"/>
        <v>10.33333333333333</v>
      </c>
      <c r="K28" s="30">
        <f t="shared" si="7"/>
        <v>2.3333333333333304</v>
      </c>
      <c r="L28" s="31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15.75" customHeight="1" x14ac:dyDescent="0.35">
      <c r="A29" s="149"/>
      <c r="B29" s="146"/>
      <c r="C29" s="146"/>
      <c r="D29" s="27">
        <v>46103</v>
      </c>
      <c r="E29" s="28" t="s">
        <v>294</v>
      </c>
      <c r="F29" s="29"/>
      <c r="G29" s="29"/>
      <c r="H29" s="29"/>
      <c r="I29" s="29"/>
      <c r="J29" s="30">
        <f t="shared" si="6"/>
        <v>0</v>
      </c>
      <c r="K29" s="28"/>
      <c r="L29" s="31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15.75" customHeight="1" x14ac:dyDescent="0.35">
      <c r="A30" s="149"/>
      <c r="B30" s="146"/>
      <c r="C30" s="146"/>
      <c r="D30" s="27">
        <v>46104</v>
      </c>
      <c r="E30" s="28" t="s">
        <v>295</v>
      </c>
      <c r="F30" s="29">
        <v>0.29166666666666669</v>
      </c>
      <c r="G30" s="29">
        <v>0.54166666666666663</v>
      </c>
      <c r="H30" s="29">
        <v>0.58333333333333337</v>
      </c>
      <c r="I30" s="29">
        <v>0.75694444444444442</v>
      </c>
      <c r="J30" s="30">
        <f t="shared" si="6"/>
        <v>10.166666666666664</v>
      </c>
      <c r="K30" s="30">
        <f t="shared" ref="K30:K32" si="8">J30-8</f>
        <v>2.1666666666666643</v>
      </c>
      <c r="L30" s="31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15.75" customHeight="1" x14ac:dyDescent="0.35">
      <c r="A31" s="149"/>
      <c r="B31" s="146"/>
      <c r="C31" s="146"/>
      <c r="D31" s="27">
        <v>46105</v>
      </c>
      <c r="E31" s="28" t="s">
        <v>296</v>
      </c>
      <c r="F31" s="29">
        <v>0.29166666666666669</v>
      </c>
      <c r="G31" s="29">
        <v>0.54166666666666663</v>
      </c>
      <c r="H31" s="29">
        <v>0.58333333333333337</v>
      </c>
      <c r="I31" s="29">
        <v>0.79166666666666663</v>
      </c>
      <c r="J31" s="30">
        <f t="shared" si="6"/>
        <v>10.999999999999996</v>
      </c>
      <c r="K31" s="30">
        <f t="shared" si="8"/>
        <v>2.9999999999999964</v>
      </c>
      <c r="L31" s="31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15.75" customHeight="1" x14ac:dyDescent="0.35">
      <c r="A32" s="149"/>
      <c r="B32" s="146"/>
      <c r="C32" s="146"/>
      <c r="D32" s="27">
        <v>46106</v>
      </c>
      <c r="E32" s="28" t="s">
        <v>297</v>
      </c>
      <c r="F32" s="29">
        <v>0.29166666666666669</v>
      </c>
      <c r="G32" s="29">
        <v>0.54166666666666663</v>
      </c>
      <c r="H32" s="29">
        <v>0.58333333333333337</v>
      </c>
      <c r="I32" s="29">
        <v>0.79166666666666663</v>
      </c>
      <c r="J32" s="30">
        <f t="shared" si="6"/>
        <v>10.999999999999996</v>
      </c>
      <c r="K32" s="32">
        <f t="shared" si="8"/>
        <v>2.9999999999999964</v>
      </c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15.75" customHeight="1" x14ac:dyDescent="0.35">
      <c r="A33" s="149"/>
      <c r="B33" s="146"/>
      <c r="C33" s="146"/>
      <c r="D33" s="27"/>
      <c r="E33" s="28"/>
      <c r="F33" s="28"/>
      <c r="G33" s="28"/>
      <c r="H33" s="26"/>
      <c r="I33" s="34" t="s">
        <v>298</v>
      </c>
      <c r="J33" s="35">
        <v>880</v>
      </c>
      <c r="K33" s="34"/>
      <c r="L33" s="3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15.75" customHeight="1" x14ac:dyDescent="0.35">
      <c r="A34" s="149"/>
      <c r="B34" s="146"/>
      <c r="C34" s="146"/>
      <c r="D34" s="27"/>
      <c r="E34" s="28"/>
      <c r="F34" s="28"/>
      <c r="G34" s="28"/>
      <c r="H34" s="37"/>
      <c r="I34" s="34" t="s">
        <v>299</v>
      </c>
      <c r="J34" s="35">
        <f>J33*(COUNTIF(J26:J32, "&gt;0.00"))</f>
        <v>5280</v>
      </c>
      <c r="K34" s="35">
        <f>(J33/8)*(SUM(K26:K32))</f>
        <v>1613.3333333333312</v>
      </c>
      <c r="L34" s="36">
        <f>SUM(L26:L32)</f>
        <v>0</v>
      </c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15.75" customHeight="1" x14ac:dyDescent="0.35">
      <c r="A35" s="150"/>
      <c r="B35" s="147"/>
      <c r="C35" s="147"/>
      <c r="D35" s="38"/>
      <c r="E35" s="39"/>
      <c r="F35" s="39"/>
      <c r="G35" s="39"/>
      <c r="H35" s="40"/>
      <c r="I35" s="41" t="s">
        <v>300</v>
      </c>
      <c r="J35" s="42">
        <f>SUM(J34:K34)-L34</f>
        <v>6893.3333333333312</v>
      </c>
      <c r="K35" s="34"/>
      <c r="L35" s="3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15.75" customHeight="1" x14ac:dyDescent="0.35">
      <c r="A36" s="43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44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46.5" x14ac:dyDescent="0.35">
      <c r="A37" s="22" t="s">
        <v>93</v>
      </c>
      <c r="B37" s="23" t="s">
        <v>94</v>
      </c>
      <c r="C37" s="23" t="s">
        <v>1</v>
      </c>
      <c r="D37" s="49" t="s">
        <v>284</v>
      </c>
      <c r="E37" s="49" t="s">
        <v>285</v>
      </c>
      <c r="F37" s="49" t="s">
        <v>286</v>
      </c>
      <c r="G37" s="49" t="s">
        <v>287</v>
      </c>
      <c r="H37" s="49" t="s">
        <v>286</v>
      </c>
      <c r="I37" s="49" t="s">
        <v>287</v>
      </c>
      <c r="J37" s="49" t="s">
        <v>288</v>
      </c>
      <c r="K37" s="49" t="s">
        <v>234</v>
      </c>
      <c r="L37" s="50" t="s">
        <v>302</v>
      </c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3.25" x14ac:dyDescent="0.35">
      <c r="A38" s="148" t="s">
        <v>28</v>
      </c>
      <c r="B38" s="145" t="s">
        <v>29</v>
      </c>
      <c r="C38" s="145" t="s">
        <v>301</v>
      </c>
      <c r="D38" s="27">
        <v>46100</v>
      </c>
      <c r="E38" s="51" t="s">
        <v>291</v>
      </c>
      <c r="F38" s="52">
        <v>0.33333333333333331</v>
      </c>
      <c r="G38" s="52">
        <v>0.54166666666666663</v>
      </c>
      <c r="H38" s="52">
        <v>0.58333333333333337</v>
      </c>
      <c r="I38" s="29">
        <v>0.75347222222222221</v>
      </c>
      <c r="J38" s="53">
        <f t="shared" ref="J38:J44" si="9">(((I38-H38)+(G38-F38))*24)</f>
        <v>9.0833333333333321</v>
      </c>
      <c r="K38" s="53">
        <f t="shared" ref="K38:K40" si="10">J38-8</f>
        <v>1.0833333333333321</v>
      </c>
      <c r="L38" s="54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3.25" x14ac:dyDescent="0.35">
      <c r="A39" s="149"/>
      <c r="B39" s="146"/>
      <c r="C39" s="146"/>
      <c r="D39" s="27">
        <v>46101</v>
      </c>
      <c r="E39" s="51" t="s">
        <v>292</v>
      </c>
      <c r="F39" s="52">
        <v>0.33194444444444443</v>
      </c>
      <c r="G39" s="52">
        <v>0.54166666666666663</v>
      </c>
      <c r="H39" s="52">
        <v>0.58333333333333337</v>
      </c>
      <c r="I39" s="29">
        <v>0.75347222222222221</v>
      </c>
      <c r="J39" s="53">
        <f t="shared" si="9"/>
        <v>9.1166666666666654</v>
      </c>
      <c r="K39" s="53">
        <f t="shared" si="10"/>
        <v>1.1166666666666654</v>
      </c>
      <c r="L39" s="54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3.25" x14ac:dyDescent="0.35">
      <c r="A40" s="149"/>
      <c r="B40" s="146"/>
      <c r="C40" s="146"/>
      <c r="D40" s="27">
        <v>46102</v>
      </c>
      <c r="E40" s="51" t="s">
        <v>293</v>
      </c>
      <c r="F40" s="52">
        <v>0.29166666666666669</v>
      </c>
      <c r="G40" s="52">
        <v>0.54166666666666663</v>
      </c>
      <c r="H40" s="52">
        <v>0.58333333333333337</v>
      </c>
      <c r="I40" s="29">
        <v>0.77777777777777779</v>
      </c>
      <c r="J40" s="53">
        <f t="shared" si="9"/>
        <v>10.666666666666664</v>
      </c>
      <c r="K40" s="53">
        <f t="shared" si="10"/>
        <v>2.6666666666666643</v>
      </c>
      <c r="L40" s="54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3.25" x14ac:dyDescent="0.35">
      <c r="A41" s="149"/>
      <c r="B41" s="146"/>
      <c r="C41" s="146"/>
      <c r="D41" s="27">
        <v>46103</v>
      </c>
      <c r="E41" s="51" t="s">
        <v>294</v>
      </c>
      <c r="F41" s="52"/>
      <c r="G41" s="52"/>
      <c r="H41" s="52"/>
      <c r="I41" s="52"/>
      <c r="J41" s="53">
        <f t="shared" si="9"/>
        <v>0</v>
      </c>
      <c r="K41" s="51"/>
      <c r="L41" s="54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3.25" x14ac:dyDescent="0.35">
      <c r="A42" s="149"/>
      <c r="B42" s="146"/>
      <c r="C42" s="146"/>
      <c r="D42" s="27">
        <v>46104</v>
      </c>
      <c r="E42" s="51" t="s">
        <v>295</v>
      </c>
      <c r="F42" s="52">
        <v>0.29166666666666669</v>
      </c>
      <c r="G42" s="52">
        <v>0.54166666666666663</v>
      </c>
      <c r="H42" s="52">
        <v>0.58333333333333337</v>
      </c>
      <c r="I42" s="29">
        <v>0.75694444444444442</v>
      </c>
      <c r="J42" s="53">
        <f t="shared" si="9"/>
        <v>10.166666666666664</v>
      </c>
      <c r="K42" s="53">
        <f t="shared" ref="K42:K44" si="11">J42-8</f>
        <v>2.1666666666666643</v>
      </c>
      <c r="L42" s="54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3.25" x14ac:dyDescent="0.35">
      <c r="A43" s="149"/>
      <c r="B43" s="146"/>
      <c r="C43" s="146"/>
      <c r="D43" s="27">
        <v>46105</v>
      </c>
      <c r="E43" s="51" t="s">
        <v>296</v>
      </c>
      <c r="F43" s="52">
        <v>0.29166666666666669</v>
      </c>
      <c r="G43" s="52">
        <v>0.54166666666666663</v>
      </c>
      <c r="H43" s="52">
        <v>0.58333333333333337</v>
      </c>
      <c r="I43" s="29">
        <v>0.79166666666666663</v>
      </c>
      <c r="J43" s="53">
        <f t="shared" si="9"/>
        <v>10.999999999999996</v>
      </c>
      <c r="K43" s="53">
        <f t="shared" si="11"/>
        <v>2.9999999999999964</v>
      </c>
      <c r="L43" s="54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46.5" x14ac:dyDescent="0.35">
      <c r="A44" s="149"/>
      <c r="B44" s="146"/>
      <c r="C44" s="146"/>
      <c r="D44" s="27">
        <v>46106</v>
      </c>
      <c r="E44" s="51" t="s">
        <v>297</v>
      </c>
      <c r="F44" s="52">
        <v>0.29166666666666669</v>
      </c>
      <c r="G44" s="52">
        <v>0.54166666666666663</v>
      </c>
      <c r="H44" s="52">
        <v>0.58333333333333337</v>
      </c>
      <c r="I44" s="29">
        <v>0.79166666666666663</v>
      </c>
      <c r="J44" s="53">
        <f t="shared" si="9"/>
        <v>10.999999999999996</v>
      </c>
      <c r="K44" s="55">
        <f t="shared" si="11"/>
        <v>2.9999999999999964</v>
      </c>
      <c r="L44" s="5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3.25" x14ac:dyDescent="0.35">
      <c r="A45" s="149"/>
      <c r="B45" s="146"/>
      <c r="C45" s="146"/>
      <c r="D45" s="57"/>
      <c r="E45" s="51"/>
      <c r="F45" s="51"/>
      <c r="G45" s="51"/>
      <c r="H45" s="43"/>
      <c r="I45" s="58" t="s">
        <v>298</v>
      </c>
      <c r="J45" s="59">
        <v>880</v>
      </c>
      <c r="K45" s="58"/>
      <c r="L45" s="60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46.5" x14ac:dyDescent="0.35">
      <c r="A46" s="149"/>
      <c r="B46" s="146"/>
      <c r="C46" s="146"/>
      <c r="D46" s="57"/>
      <c r="E46" s="51"/>
      <c r="F46" s="51"/>
      <c r="G46" s="51"/>
      <c r="H46" s="61"/>
      <c r="I46" s="58" t="s">
        <v>299</v>
      </c>
      <c r="J46" s="35">
        <f>J45*(COUNTIF(J38:J44, "&gt;0.00"))</f>
        <v>5280</v>
      </c>
      <c r="K46" s="35">
        <f>(J45/8)*(SUM(K38:K44))</f>
        <v>1433.6666666666652</v>
      </c>
      <c r="L46" s="36">
        <f>SUM(L38:L44)</f>
        <v>0</v>
      </c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3.25" x14ac:dyDescent="0.35">
      <c r="A47" s="150"/>
      <c r="B47" s="147"/>
      <c r="C47" s="147"/>
      <c r="D47" s="62"/>
      <c r="E47" s="63"/>
      <c r="F47" s="63"/>
      <c r="G47" s="63"/>
      <c r="H47" s="64"/>
      <c r="I47" s="65" t="s">
        <v>300</v>
      </c>
      <c r="J47" s="42">
        <f>SUM(J46:K46)-L46</f>
        <v>6713.6666666666652</v>
      </c>
      <c r="K47" s="34"/>
      <c r="L47" s="3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3.25" x14ac:dyDescent="0.35">
      <c r="A48" s="43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44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46.5" x14ac:dyDescent="0.35">
      <c r="A49" s="22" t="s">
        <v>93</v>
      </c>
      <c r="B49" s="23" t="s">
        <v>94</v>
      </c>
      <c r="C49" s="23" t="s">
        <v>1</v>
      </c>
      <c r="D49" s="24" t="s">
        <v>284</v>
      </c>
      <c r="E49" s="24" t="s">
        <v>285</v>
      </c>
      <c r="F49" s="24" t="s">
        <v>286</v>
      </c>
      <c r="G49" s="24" t="s">
        <v>287</v>
      </c>
      <c r="H49" s="24" t="s">
        <v>286</v>
      </c>
      <c r="I49" s="24" t="s">
        <v>287</v>
      </c>
      <c r="J49" s="24" t="s">
        <v>288</v>
      </c>
      <c r="K49" s="24" t="s">
        <v>234</v>
      </c>
      <c r="L49" s="25" t="s">
        <v>302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3.25" x14ac:dyDescent="0.35">
      <c r="A50" s="148" t="s">
        <v>31</v>
      </c>
      <c r="B50" s="145" t="s">
        <v>32</v>
      </c>
      <c r="C50" s="145" t="s">
        <v>16</v>
      </c>
      <c r="D50" s="27">
        <v>46100</v>
      </c>
      <c r="E50" s="28" t="s">
        <v>291</v>
      </c>
      <c r="F50" s="29">
        <v>0.29166666666666669</v>
      </c>
      <c r="G50" s="29">
        <v>0.54166666666666663</v>
      </c>
      <c r="H50" s="29">
        <v>0.58333333333333337</v>
      </c>
      <c r="I50" s="29">
        <v>0.75347222222222221</v>
      </c>
      <c r="J50" s="30">
        <f t="shared" ref="J50:J56" si="12">(((I50-H50)+(G50-F50))*24)</f>
        <v>10.08333333333333</v>
      </c>
      <c r="K50" s="30">
        <f t="shared" ref="K50:K52" si="13">J50-8</f>
        <v>2.0833333333333304</v>
      </c>
      <c r="L50" s="31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3.25" x14ac:dyDescent="0.35">
      <c r="A51" s="149"/>
      <c r="B51" s="146"/>
      <c r="C51" s="146"/>
      <c r="D51" s="27">
        <v>46101</v>
      </c>
      <c r="E51" s="28" t="s">
        <v>292</v>
      </c>
      <c r="F51" s="52">
        <v>0.28958333333333336</v>
      </c>
      <c r="G51" s="29">
        <v>0.54166666666666663</v>
      </c>
      <c r="H51" s="29">
        <v>0.58333333333333337</v>
      </c>
      <c r="I51" s="29">
        <v>0.75347222222222221</v>
      </c>
      <c r="J51" s="30">
        <f t="shared" si="12"/>
        <v>10.133333333333331</v>
      </c>
      <c r="K51" s="30">
        <f t="shared" si="13"/>
        <v>2.1333333333333311</v>
      </c>
      <c r="L51" s="31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3.25" x14ac:dyDescent="0.35">
      <c r="A52" s="149"/>
      <c r="B52" s="146"/>
      <c r="C52" s="146"/>
      <c r="D52" s="27">
        <v>46102</v>
      </c>
      <c r="E52" s="28" t="s">
        <v>293</v>
      </c>
      <c r="F52" s="29">
        <v>0.29166666666666669</v>
      </c>
      <c r="G52" s="29">
        <v>0.54166666666666663</v>
      </c>
      <c r="H52" s="29">
        <v>0.58333333333333337</v>
      </c>
      <c r="I52" s="29">
        <v>0.76388888888888884</v>
      </c>
      <c r="J52" s="30">
        <f t="shared" si="12"/>
        <v>10.33333333333333</v>
      </c>
      <c r="K52" s="30">
        <f t="shared" si="13"/>
        <v>2.3333333333333304</v>
      </c>
      <c r="L52" s="31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3.25" x14ac:dyDescent="0.35">
      <c r="A53" s="149"/>
      <c r="B53" s="146"/>
      <c r="C53" s="146"/>
      <c r="D53" s="27">
        <v>46103</v>
      </c>
      <c r="E53" s="28" t="s">
        <v>294</v>
      </c>
      <c r="F53" s="29"/>
      <c r="G53" s="29"/>
      <c r="H53" s="29"/>
      <c r="I53" s="29"/>
      <c r="J53" s="30">
        <f t="shared" si="12"/>
        <v>0</v>
      </c>
      <c r="K53" s="28"/>
      <c r="L53" s="31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3.25" x14ac:dyDescent="0.35">
      <c r="A54" s="149"/>
      <c r="B54" s="146"/>
      <c r="C54" s="146"/>
      <c r="D54" s="27">
        <v>46104</v>
      </c>
      <c r="E54" s="28" t="s">
        <v>295</v>
      </c>
      <c r="F54" s="29">
        <v>0.29166666666666669</v>
      </c>
      <c r="G54" s="29">
        <v>0.54166666666666663</v>
      </c>
      <c r="H54" s="29">
        <v>0.58333333333333337</v>
      </c>
      <c r="I54" s="29">
        <v>0.75694444444444442</v>
      </c>
      <c r="J54" s="30">
        <f t="shared" si="12"/>
        <v>10.166666666666664</v>
      </c>
      <c r="K54" s="30">
        <f t="shared" ref="K54:K56" si="14">J54-8</f>
        <v>2.1666666666666643</v>
      </c>
      <c r="L54" s="31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3.25" x14ac:dyDescent="0.35">
      <c r="A55" s="149"/>
      <c r="B55" s="146"/>
      <c r="C55" s="146"/>
      <c r="D55" s="27">
        <v>46105</v>
      </c>
      <c r="E55" s="28" t="s">
        <v>296</v>
      </c>
      <c r="F55" s="29">
        <v>0.29166666666666669</v>
      </c>
      <c r="G55" s="29">
        <v>0.54166666666666663</v>
      </c>
      <c r="H55" s="29">
        <v>0.58333333333333337</v>
      </c>
      <c r="I55" s="29">
        <v>0.79166666666666663</v>
      </c>
      <c r="J55" s="30">
        <f t="shared" si="12"/>
        <v>10.999999999999996</v>
      </c>
      <c r="K55" s="30">
        <f t="shared" si="14"/>
        <v>2.9999999999999964</v>
      </c>
      <c r="L55" s="31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3.25" x14ac:dyDescent="0.35">
      <c r="A56" s="149"/>
      <c r="B56" s="146"/>
      <c r="C56" s="146"/>
      <c r="D56" s="27">
        <v>46106</v>
      </c>
      <c r="E56" s="28" t="s">
        <v>297</v>
      </c>
      <c r="F56" s="29">
        <v>0.29166666666666669</v>
      </c>
      <c r="G56" s="29">
        <v>0.54166666666666663</v>
      </c>
      <c r="H56" s="29">
        <v>0.58333333333333337</v>
      </c>
      <c r="I56" s="29">
        <v>0.79166666666666663</v>
      </c>
      <c r="J56" s="30">
        <f t="shared" si="12"/>
        <v>10.999999999999996</v>
      </c>
      <c r="K56" s="32">
        <f t="shared" si="14"/>
        <v>2.9999999999999964</v>
      </c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3.25" x14ac:dyDescent="0.35">
      <c r="A57" s="149"/>
      <c r="B57" s="146"/>
      <c r="C57" s="146"/>
      <c r="D57" s="27"/>
      <c r="E57" s="28"/>
      <c r="F57" s="28"/>
      <c r="G57" s="28"/>
      <c r="H57" s="26"/>
      <c r="I57" s="34" t="s">
        <v>298</v>
      </c>
      <c r="J57" s="35">
        <v>1100</v>
      </c>
      <c r="K57" s="34"/>
      <c r="L57" s="3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3.25" x14ac:dyDescent="0.35">
      <c r="A58" s="149"/>
      <c r="B58" s="146"/>
      <c r="C58" s="146"/>
      <c r="D58" s="27"/>
      <c r="E58" s="28"/>
      <c r="F58" s="28"/>
      <c r="G58" s="28"/>
      <c r="H58" s="37"/>
      <c r="I58" s="34" t="s">
        <v>299</v>
      </c>
      <c r="J58" s="35">
        <f>J57*(COUNTIF(J50:J56, "&gt;0.00"))</f>
        <v>6600</v>
      </c>
      <c r="K58" s="35">
        <f>(J57/8)*(SUM(K50:K56))</f>
        <v>2023.5416666666642</v>
      </c>
      <c r="L58" s="36">
        <f>SUM(L50:L56)</f>
        <v>0</v>
      </c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3.25" x14ac:dyDescent="0.35">
      <c r="A59" s="150"/>
      <c r="B59" s="147"/>
      <c r="C59" s="147"/>
      <c r="D59" s="38"/>
      <c r="E59" s="39"/>
      <c r="F59" s="39"/>
      <c r="G59" s="39"/>
      <c r="H59" s="40"/>
      <c r="I59" s="41" t="s">
        <v>300</v>
      </c>
      <c r="J59" s="42">
        <f>SUM(J58:K58)-L58</f>
        <v>8623.5416666666642</v>
      </c>
      <c r="K59" s="34"/>
      <c r="L59" s="3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3.25" x14ac:dyDescent="0.35">
      <c r="A60" s="43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44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46.5" x14ac:dyDescent="0.35">
      <c r="A61" s="22" t="s">
        <v>93</v>
      </c>
      <c r="B61" s="23" t="s">
        <v>94</v>
      </c>
      <c r="C61" s="23" t="s">
        <v>1</v>
      </c>
      <c r="D61" s="24" t="s">
        <v>284</v>
      </c>
      <c r="E61" s="24" t="s">
        <v>285</v>
      </c>
      <c r="F61" s="24" t="s">
        <v>286</v>
      </c>
      <c r="G61" s="24" t="s">
        <v>287</v>
      </c>
      <c r="H61" s="24" t="s">
        <v>286</v>
      </c>
      <c r="I61" s="24" t="s">
        <v>287</v>
      </c>
      <c r="J61" s="24" t="s">
        <v>288</v>
      </c>
      <c r="K61" s="24" t="s">
        <v>234</v>
      </c>
      <c r="L61" s="25" t="s">
        <v>302</v>
      </c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3.25" x14ac:dyDescent="0.35">
      <c r="A62" s="148" t="s">
        <v>33</v>
      </c>
      <c r="B62" s="145" t="s">
        <v>34</v>
      </c>
      <c r="C62" s="145" t="s">
        <v>16</v>
      </c>
      <c r="D62" s="27">
        <v>46100</v>
      </c>
      <c r="E62" s="28" t="s">
        <v>291</v>
      </c>
      <c r="F62" s="29">
        <v>0.29166666666666669</v>
      </c>
      <c r="G62" s="29">
        <v>0.54166666666666663</v>
      </c>
      <c r="H62" s="29">
        <v>0.58333333333333337</v>
      </c>
      <c r="I62" s="29">
        <v>0.75347222222222221</v>
      </c>
      <c r="J62" s="30">
        <f t="shared" ref="J62:J68" si="15">(((I62-H62)+(G62-F62))*24)</f>
        <v>10.08333333333333</v>
      </c>
      <c r="K62" s="30">
        <f t="shared" ref="K62:K64" si="16">J62-8</f>
        <v>2.0833333333333304</v>
      </c>
      <c r="L62" s="31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3.25" x14ac:dyDescent="0.35">
      <c r="A63" s="149"/>
      <c r="B63" s="146"/>
      <c r="C63" s="146"/>
      <c r="D63" s="27">
        <v>46101</v>
      </c>
      <c r="E63" s="28" t="s">
        <v>292</v>
      </c>
      <c r="F63" s="29">
        <v>0.29166666666666669</v>
      </c>
      <c r="G63" s="29">
        <v>0.54166666666666663</v>
      </c>
      <c r="H63" s="29">
        <v>0.58333333333333337</v>
      </c>
      <c r="I63" s="29">
        <v>0.75347222222222221</v>
      </c>
      <c r="J63" s="30">
        <f t="shared" si="15"/>
        <v>10.08333333333333</v>
      </c>
      <c r="K63" s="30">
        <f t="shared" si="16"/>
        <v>2.0833333333333304</v>
      </c>
      <c r="L63" s="31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3.25" x14ac:dyDescent="0.35">
      <c r="A64" s="149"/>
      <c r="B64" s="146"/>
      <c r="C64" s="146"/>
      <c r="D64" s="27">
        <v>46102</v>
      </c>
      <c r="E64" s="28" t="s">
        <v>293</v>
      </c>
      <c r="F64" s="29">
        <v>0.29166666666666669</v>
      </c>
      <c r="G64" s="29">
        <v>0.54166666666666663</v>
      </c>
      <c r="H64" s="29">
        <v>0.58333333333333337</v>
      </c>
      <c r="I64" s="29">
        <v>0.76388888888888884</v>
      </c>
      <c r="J64" s="30">
        <f t="shared" si="15"/>
        <v>10.33333333333333</v>
      </c>
      <c r="K64" s="30">
        <f t="shared" si="16"/>
        <v>2.3333333333333304</v>
      </c>
      <c r="L64" s="31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3.25" x14ac:dyDescent="0.35">
      <c r="A65" s="149"/>
      <c r="B65" s="146"/>
      <c r="C65" s="146"/>
      <c r="D65" s="27">
        <v>46103</v>
      </c>
      <c r="E65" s="28" t="s">
        <v>294</v>
      </c>
      <c r="F65" s="29"/>
      <c r="G65" s="29"/>
      <c r="H65" s="29"/>
      <c r="I65" s="29"/>
      <c r="J65" s="30">
        <f t="shared" si="15"/>
        <v>0</v>
      </c>
      <c r="K65" s="28"/>
      <c r="L65" s="31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3.25" x14ac:dyDescent="0.35">
      <c r="A66" s="149"/>
      <c r="B66" s="146"/>
      <c r="C66" s="146"/>
      <c r="D66" s="27">
        <v>46104</v>
      </c>
      <c r="E66" s="28" t="s">
        <v>295</v>
      </c>
      <c r="F66" s="29">
        <v>0.29166666666666669</v>
      </c>
      <c r="G66" s="29">
        <v>0.54166666666666663</v>
      </c>
      <c r="H66" s="29">
        <v>0.58333333333333337</v>
      </c>
      <c r="I66" s="29">
        <v>0.75694444444444442</v>
      </c>
      <c r="J66" s="30">
        <f t="shared" si="15"/>
        <v>10.166666666666664</v>
      </c>
      <c r="K66" s="30">
        <f t="shared" ref="K66:K68" si="17">J66-8</f>
        <v>2.1666666666666643</v>
      </c>
      <c r="L66" s="31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3.25" x14ac:dyDescent="0.35">
      <c r="A67" s="149"/>
      <c r="B67" s="146"/>
      <c r="C67" s="146"/>
      <c r="D67" s="27">
        <v>46105</v>
      </c>
      <c r="E67" s="28" t="s">
        <v>296</v>
      </c>
      <c r="F67" s="29">
        <v>0.29166666666666669</v>
      </c>
      <c r="G67" s="29">
        <v>0.54166666666666663</v>
      </c>
      <c r="H67" s="29">
        <v>0.58333333333333337</v>
      </c>
      <c r="I67" s="29">
        <v>0.75</v>
      </c>
      <c r="J67" s="30">
        <f t="shared" si="15"/>
        <v>9.9999999999999982</v>
      </c>
      <c r="K67" s="30">
        <f t="shared" si="17"/>
        <v>1.9999999999999982</v>
      </c>
      <c r="L67" s="31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3.25" x14ac:dyDescent="0.35">
      <c r="A68" s="149"/>
      <c r="B68" s="146"/>
      <c r="C68" s="146"/>
      <c r="D68" s="27">
        <v>46106</v>
      </c>
      <c r="E68" s="28" t="s">
        <v>297</v>
      </c>
      <c r="F68" s="29">
        <v>0.29166666666666669</v>
      </c>
      <c r="G68" s="29">
        <v>0.54166666666666663</v>
      </c>
      <c r="H68" s="29">
        <v>0.58333333333333337</v>
      </c>
      <c r="I68" s="29">
        <v>0.79166666666666663</v>
      </c>
      <c r="J68" s="30">
        <f t="shared" si="15"/>
        <v>10.999999999999996</v>
      </c>
      <c r="K68" s="32">
        <f t="shared" si="17"/>
        <v>2.9999999999999964</v>
      </c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3.25" x14ac:dyDescent="0.35">
      <c r="A69" s="149"/>
      <c r="B69" s="146"/>
      <c r="C69" s="146"/>
      <c r="D69" s="27"/>
      <c r="E69" s="28"/>
      <c r="F69" s="28"/>
      <c r="G69" s="28"/>
      <c r="H69" s="26"/>
      <c r="I69" s="34" t="s">
        <v>298</v>
      </c>
      <c r="J69" s="35">
        <v>1100</v>
      </c>
      <c r="K69" s="34"/>
      <c r="L69" s="3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3.25" x14ac:dyDescent="0.35">
      <c r="A70" s="149"/>
      <c r="B70" s="146"/>
      <c r="C70" s="146"/>
      <c r="D70" s="27"/>
      <c r="E70" s="28"/>
      <c r="F70" s="28"/>
      <c r="G70" s="28"/>
      <c r="H70" s="37"/>
      <c r="I70" s="34" t="s">
        <v>299</v>
      </c>
      <c r="J70" s="35">
        <f>J69*(COUNTIF(J62:J68, "&gt;0.00"))</f>
        <v>6600</v>
      </c>
      <c r="K70" s="35">
        <f>(J69/8)*(SUM(K62:K68))</f>
        <v>1879.1666666666645</v>
      </c>
      <c r="L70" s="36">
        <f>SUM(L62:L68)</f>
        <v>0</v>
      </c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3.25" x14ac:dyDescent="0.35">
      <c r="A71" s="150"/>
      <c r="B71" s="147"/>
      <c r="C71" s="147"/>
      <c r="D71" s="38"/>
      <c r="E71" s="39"/>
      <c r="F71" s="39"/>
      <c r="G71" s="39"/>
      <c r="H71" s="40"/>
      <c r="I71" s="41" t="s">
        <v>300</v>
      </c>
      <c r="J71" s="42">
        <f>SUM(J70:K70)-L70</f>
        <v>8479.1666666666642</v>
      </c>
      <c r="K71" s="34"/>
      <c r="L71" s="3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3.25" x14ac:dyDescent="0.35">
      <c r="A72" s="43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44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46.5" x14ac:dyDescent="0.35">
      <c r="A73" s="22" t="s">
        <v>93</v>
      </c>
      <c r="B73" s="23" t="s">
        <v>94</v>
      </c>
      <c r="C73" s="23" t="s">
        <v>1</v>
      </c>
      <c r="D73" s="24" t="s">
        <v>284</v>
      </c>
      <c r="E73" s="24" t="s">
        <v>285</v>
      </c>
      <c r="F73" s="24" t="s">
        <v>286</v>
      </c>
      <c r="G73" s="24" t="s">
        <v>287</v>
      </c>
      <c r="H73" s="24" t="s">
        <v>286</v>
      </c>
      <c r="I73" s="24" t="s">
        <v>287</v>
      </c>
      <c r="J73" s="24" t="s">
        <v>288</v>
      </c>
      <c r="K73" s="24" t="s">
        <v>234</v>
      </c>
      <c r="L73" s="25" t="s">
        <v>302</v>
      </c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3.25" x14ac:dyDescent="0.35">
      <c r="A74" s="148" t="s">
        <v>40</v>
      </c>
      <c r="B74" s="145" t="s">
        <v>41</v>
      </c>
      <c r="C74" s="145" t="s">
        <v>301</v>
      </c>
      <c r="D74" s="27">
        <v>46100</v>
      </c>
      <c r="E74" s="28" t="s">
        <v>291</v>
      </c>
      <c r="F74" s="29">
        <v>0.29166666666666669</v>
      </c>
      <c r="G74" s="29">
        <v>0.54166666666666663</v>
      </c>
      <c r="H74" s="29">
        <v>0.58333333333333337</v>
      </c>
      <c r="I74" s="29">
        <v>0.75347222222222221</v>
      </c>
      <c r="J74" s="30">
        <f t="shared" ref="J74:J80" si="18">(((I74-H74)+(G74-F74))*24)</f>
        <v>10.08333333333333</v>
      </c>
      <c r="K74" s="30">
        <f t="shared" ref="K74:K76" si="19">J74-8</f>
        <v>2.0833333333333304</v>
      </c>
      <c r="L74" s="31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3.25" x14ac:dyDescent="0.35">
      <c r="A75" s="149"/>
      <c r="B75" s="146"/>
      <c r="C75" s="146"/>
      <c r="D75" s="27">
        <v>46101</v>
      </c>
      <c r="E75" s="28" t="s">
        <v>292</v>
      </c>
      <c r="F75" s="52">
        <v>0.28958333333333336</v>
      </c>
      <c r="G75" s="29">
        <v>0.54166666666666663</v>
      </c>
      <c r="H75" s="29">
        <v>0.58333333333333337</v>
      </c>
      <c r="I75" s="29">
        <v>0.75347222222222221</v>
      </c>
      <c r="J75" s="30">
        <f t="shared" si="18"/>
        <v>10.133333333333331</v>
      </c>
      <c r="K75" s="30">
        <f t="shared" si="19"/>
        <v>2.1333333333333311</v>
      </c>
      <c r="L75" s="31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3.25" x14ac:dyDescent="0.35">
      <c r="A76" s="149"/>
      <c r="B76" s="146"/>
      <c r="C76" s="146"/>
      <c r="D76" s="27">
        <v>46102</v>
      </c>
      <c r="E76" s="28" t="s">
        <v>293</v>
      </c>
      <c r="F76" s="29">
        <v>0.29166666666666669</v>
      </c>
      <c r="G76" s="29">
        <v>0.54166666666666663</v>
      </c>
      <c r="H76" s="29">
        <v>0.58333333333333337</v>
      </c>
      <c r="I76" s="29">
        <v>0.76388888888888884</v>
      </c>
      <c r="J76" s="30">
        <f t="shared" si="18"/>
        <v>10.33333333333333</v>
      </c>
      <c r="K76" s="30">
        <f t="shared" si="19"/>
        <v>2.3333333333333304</v>
      </c>
      <c r="L76" s="31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3.25" x14ac:dyDescent="0.35">
      <c r="A77" s="149"/>
      <c r="B77" s="146"/>
      <c r="C77" s="146"/>
      <c r="D77" s="27">
        <v>46103</v>
      </c>
      <c r="E77" s="28" t="s">
        <v>294</v>
      </c>
      <c r="F77" s="29"/>
      <c r="G77" s="29"/>
      <c r="H77" s="29"/>
      <c r="I77" s="29"/>
      <c r="J77" s="30">
        <f t="shared" si="18"/>
        <v>0</v>
      </c>
      <c r="K77" s="28"/>
      <c r="L77" s="31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3.25" x14ac:dyDescent="0.35">
      <c r="A78" s="149"/>
      <c r="B78" s="146"/>
      <c r="C78" s="146"/>
      <c r="D78" s="27">
        <v>46104</v>
      </c>
      <c r="E78" s="28" t="s">
        <v>295</v>
      </c>
      <c r="F78" s="29">
        <v>0.29166666666666669</v>
      </c>
      <c r="G78" s="29">
        <v>0.54166666666666663</v>
      </c>
      <c r="H78" s="29">
        <v>0.58333333333333337</v>
      </c>
      <c r="I78" s="29">
        <v>0.75694444444444442</v>
      </c>
      <c r="J78" s="30">
        <f t="shared" si="18"/>
        <v>10.166666666666664</v>
      </c>
      <c r="K78" s="30">
        <f t="shared" ref="K78:K80" si="20">J78-8</f>
        <v>2.1666666666666643</v>
      </c>
      <c r="L78" s="31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3.25" x14ac:dyDescent="0.35">
      <c r="A79" s="149"/>
      <c r="B79" s="146"/>
      <c r="C79" s="146"/>
      <c r="D79" s="27">
        <v>46105</v>
      </c>
      <c r="E79" s="28" t="s">
        <v>296</v>
      </c>
      <c r="F79" s="29">
        <v>0.29166666666666669</v>
      </c>
      <c r="G79" s="29">
        <v>0.54166666666666663</v>
      </c>
      <c r="H79" s="29">
        <v>0.58333333333333337</v>
      </c>
      <c r="I79" s="29">
        <v>0.79166666666666663</v>
      </c>
      <c r="J79" s="30">
        <f t="shared" si="18"/>
        <v>10.999999999999996</v>
      </c>
      <c r="K79" s="30">
        <f t="shared" si="20"/>
        <v>2.9999999999999964</v>
      </c>
      <c r="L79" s="31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3.25" x14ac:dyDescent="0.35">
      <c r="A80" s="149"/>
      <c r="B80" s="146"/>
      <c r="C80" s="146"/>
      <c r="D80" s="27">
        <v>46106</v>
      </c>
      <c r="E80" s="28" t="s">
        <v>297</v>
      </c>
      <c r="F80" s="29">
        <v>0.29166666666666669</v>
      </c>
      <c r="G80" s="29">
        <v>0.54166666666666663</v>
      </c>
      <c r="H80" s="29">
        <v>0.58333333333333337</v>
      </c>
      <c r="I80" s="29">
        <v>0.79166666666666663</v>
      </c>
      <c r="J80" s="30">
        <f t="shared" si="18"/>
        <v>10.999999999999996</v>
      </c>
      <c r="K80" s="32">
        <f t="shared" si="20"/>
        <v>2.9999999999999964</v>
      </c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3.25" x14ac:dyDescent="0.35">
      <c r="A81" s="149"/>
      <c r="B81" s="146"/>
      <c r="C81" s="146"/>
      <c r="D81" s="27"/>
      <c r="E81" s="28"/>
      <c r="F81" s="28"/>
      <c r="G81" s="28"/>
      <c r="H81" s="26"/>
      <c r="I81" s="34" t="s">
        <v>298</v>
      </c>
      <c r="J81" s="35">
        <v>880</v>
      </c>
      <c r="K81" s="34"/>
      <c r="L81" s="3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3.25" x14ac:dyDescent="0.35">
      <c r="A82" s="149"/>
      <c r="B82" s="146"/>
      <c r="C82" s="146"/>
      <c r="D82" s="27"/>
      <c r="E82" s="28"/>
      <c r="F82" s="28"/>
      <c r="G82" s="28"/>
      <c r="H82" s="37"/>
      <c r="I82" s="34" t="s">
        <v>299</v>
      </c>
      <c r="J82" s="35">
        <f>J81*(COUNTIF(J74:J80, "&gt;0.00"))</f>
        <v>5280</v>
      </c>
      <c r="K82" s="35">
        <f>(J81/8)*(SUM(K74:K80))</f>
        <v>1618.8333333333314</v>
      </c>
      <c r="L82" s="36">
        <f>SUM(L74:L80)</f>
        <v>0</v>
      </c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3.25" x14ac:dyDescent="0.35">
      <c r="A83" s="150"/>
      <c r="B83" s="147"/>
      <c r="C83" s="147"/>
      <c r="D83" s="38"/>
      <c r="E83" s="39"/>
      <c r="F83" s="39"/>
      <c r="G83" s="39"/>
      <c r="H83" s="40"/>
      <c r="I83" s="41" t="s">
        <v>300</v>
      </c>
      <c r="J83" s="42">
        <f>SUM(J82:K82)-L82</f>
        <v>6898.8333333333312</v>
      </c>
      <c r="K83" s="34"/>
      <c r="L83" s="3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3.25" x14ac:dyDescent="0.35">
      <c r="A84" s="43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44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46.5" x14ac:dyDescent="0.35">
      <c r="A85" s="22" t="s">
        <v>93</v>
      </c>
      <c r="B85" s="23" t="s">
        <v>94</v>
      </c>
      <c r="C85" s="23" t="s">
        <v>1</v>
      </c>
      <c r="D85" s="24" t="s">
        <v>284</v>
      </c>
      <c r="E85" s="24" t="s">
        <v>285</v>
      </c>
      <c r="F85" s="24" t="s">
        <v>286</v>
      </c>
      <c r="G85" s="24" t="s">
        <v>287</v>
      </c>
      <c r="H85" s="24" t="s">
        <v>286</v>
      </c>
      <c r="I85" s="24" t="s">
        <v>287</v>
      </c>
      <c r="J85" s="24" t="s">
        <v>288</v>
      </c>
      <c r="K85" s="24" t="s">
        <v>234</v>
      </c>
      <c r="L85" s="25" t="s">
        <v>302</v>
      </c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3.25" x14ac:dyDescent="0.35">
      <c r="A86" s="148" t="s">
        <v>57</v>
      </c>
      <c r="B86" s="145" t="s">
        <v>58</v>
      </c>
      <c r="C86" s="145" t="s">
        <v>301</v>
      </c>
      <c r="D86" s="27">
        <v>46100</v>
      </c>
      <c r="E86" s="28" t="s">
        <v>291</v>
      </c>
      <c r="F86" s="29">
        <v>0.29166666666666669</v>
      </c>
      <c r="G86" s="29">
        <v>0.54166666666666663</v>
      </c>
      <c r="H86" s="29">
        <v>0.58333333333333337</v>
      </c>
      <c r="I86" s="29">
        <v>0.75347222222222221</v>
      </c>
      <c r="J86" s="30">
        <f t="shared" ref="J86:J92" si="21">(((I86-H86)+(G86-F86))*24)</f>
        <v>10.08333333333333</v>
      </c>
      <c r="K86" s="30">
        <f t="shared" ref="K86:K88" si="22">J86-8</f>
        <v>2.0833333333333304</v>
      </c>
      <c r="L86" s="31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3.25" x14ac:dyDescent="0.35">
      <c r="A87" s="149"/>
      <c r="B87" s="146"/>
      <c r="C87" s="146"/>
      <c r="D87" s="27">
        <v>46101</v>
      </c>
      <c r="E87" s="28" t="s">
        <v>292</v>
      </c>
      <c r="F87" s="29">
        <v>0.29166666666666669</v>
      </c>
      <c r="G87" s="29">
        <v>0.54166666666666663</v>
      </c>
      <c r="H87" s="29">
        <v>0.58333333333333337</v>
      </c>
      <c r="I87" s="29">
        <v>0.75347222222222221</v>
      </c>
      <c r="J87" s="30">
        <f t="shared" si="21"/>
        <v>10.08333333333333</v>
      </c>
      <c r="K87" s="30">
        <f t="shared" si="22"/>
        <v>2.0833333333333304</v>
      </c>
      <c r="L87" s="31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3.25" x14ac:dyDescent="0.35">
      <c r="A88" s="149"/>
      <c r="B88" s="146"/>
      <c r="C88" s="146"/>
      <c r="D88" s="27">
        <v>46102</v>
      </c>
      <c r="E88" s="28" t="s">
        <v>293</v>
      </c>
      <c r="F88" s="29">
        <v>0.29166666666666669</v>
      </c>
      <c r="G88" s="29">
        <v>0.54166666666666663</v>
      </c>
      <c r="H88" s="29">
        <v>0.58333333333333337</v>
      </c>
      <c r="I88" s="29">
        <v>0.77777777777777779</v>
      </c>
      <c r="J88" s="30">
        <f t="shared" si="21"/>
        <v>10.666666666666664</v>
      </c>
      <c r="K88" s="30">
        <f t="shared" si="22"/>
        <v>2.6666666666666643</v>
      </c>
      <c r="L88" s="31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3.25" x14ac:dyDescent="0.35">
      <c r="A89" s="149"/>
      <c r="B89" s="146"/>
      <c r="C89" s="146"/>
      <c r="D89" s="27">
        <v>46103</v>
      </c>
      <c r="E89" s="28" t="s">
        <v>294</v>
      </c>
      <c r="F89" s="29"/>
      <c r="G89" s="29"/>
      <c r="H89" s="29"/>
      <c r="I89" s="29"/>
      <c r="J89" s="30">
        <f t="shared" si="21"/>
        <v>0</v>
      </c>
      <c r="K89" s="28"/>
      <c r="L89" s="31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3.25" x14ac:dyDescent="0.35">
      <c r="A90" s="149"/>
      <c r="B90" s="146"/>
      <c r="C90" s="146"/>
      <c r="D90" s="27">
        <v>46104</v>
      </c>
      <c r="E90" s="28" t="s">
        <v>295</v>
      </c>
      <c r="F90" s="29">
        <v>0.30555555555555558</v>
      </c>
      <c r="G90" s="29">
        <v>0.54166666666666663</v>
      </c>
      <c r="H90" s="29">
        <v>0.58333333333333337</v>
      </c>
      <c r="I90" s="29">
        <v>0.75694444444444442</v>
      </c>
      <c r="J90" s="30">
        <f t="shared" si="21"/>
        <v>9.8333333333333304</v>
      </c>
      <c r="K90" s="30">
        <f t="shared" ref="K90:K92" si="23">J90-8</f>
        <v>1.8333333333333304</v>
      </c>
      <c r="L90" s="31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3.25" x14ac:dyDescent="0.35">
      <c r="A91" s="149"/>
      <c r="B91" s="146"/>
      <c r="C91" s="146"/>
      <c r="D91" s="27">
        <v>46105</v>
      </c>
      <c r="E91" s="28" t="s">
        <v>296</v>
      </c>
      <c r="F91" s="29">
        <v>0.29166666666666669</v>
      </c>
      <c r="G91" s="29">
        <v>0.54166666666666663</v>
      </c>
      <c r="H91" s="29">
        <v>0.58333333333333337</v>
      </c>
      <c r="I91" s="29">
        <v>0.79166666666666663</v>
      </c>
      <c r="J91" s="30">
        <f t="shared" si="21"/>
        <v>10.999999999999996</v>
      </c>
      <c r="K91" s="30">
        <f t="shared" si="23"/>
        <v>2.9999999999999964</v>
      </c>
      <c r="L91" s="31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3.25" x14ac:dyDescent="0.35">
      <c r="A92" s="149"/>
      <c r="B92" s="146"/>
      <c r="C92" s="146"/>
      <c r="D92" s="27">
        <v>46106</v>
      </c>
      <c r="E92" s="28" t="s">
        <v>297</v>
      </c>
      <c r="F92" s="29">
        <v>0.29166666666666669</v>
      </c>
      <c r="G92" s="29">
        <v>0.54166666666666663</v>
      </c>
      <c r="H92" s="29">
        <v>0.58333333333333337</v>
      </c>
      <c r="I92" s="29">
        <v>0.79166666666666663</v>
      </c>
      <c r="J92" s="30">
        <f t="shared" si="21"/>
        <v>10.999999999999996</v>
      </c>
      <c r="K92" s="32">
        <f t="shared" si="23"/>
        <v>2.9999999999999964</v>
      </c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3.25" x14ac:dyDescent="0.35">
      <c r="A93" s="149"/>
      <c r="B93" s="146"/>
      <c r="C93" s="146"/>
      <c r="D93" s="27"/>
      <c r="E93" s="28"/>
      <c r="F93" s="28"/>
      <c r="G93" s="28"/>
      <c r="H93" s="26"/>
      <c r="I93" s="34" t="s">
        <v>298</v>
      </c>
      <c r="J93" s="35">
        <v>800</v>
      </c>
      <c r="K93" s="34"/>
      <c r="L93" s="3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3.25" x14ac:dyDescent="0.35">
      <c r="A94" s="149"/>
      <c r="B94" s="146"/>
      <c r="C94" s="146"/>
      <c r="D94" s="27"/>
      <c r="E94" s="28"/>
      <c r="F94" s="28"/>
      <c r="G94" s="28"/>
      <c r="H94" s="37"/>
      <c r="I94" s="34" t="s">
        <v>299</v>
      </c>
      <c r="J94" s="35">
        <f>J93*(COUNTIF(J86:J92, "&gt;0.00"))</f>
        <v>4800</v>
      </c>
      <c r="K94" s="35">
        <f>(J93/8)*(SUM(K86:K92))</f>
        <v>1466.6666666666649</v>
      </c>
      <c r="L94" s="36">
        <f>SUM(L86:L92)</f>
        <v>0</v>
      </c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3.25" x14ac:dyDescent="0.35">
      <c r="A95" s="150"/>
      <c r="B95" s="147"/>
      <c r="C95" s="147"/>
      <c r="D95" s="38"/>
      <c r="E95" s="39"/>
      <c r="F95" s="39"/>
      <c r="G95" s="39"/>
      <c r="H95" s="40"/>
      <c r="I95" s="41" t="s">
        <v>300</v>
      </c>
      <c r="J95" s="42">
        <f>SUM(J94:K94)-L94</f>
        <v>6266.6666666666652</v>
      </c>
      <c r="K95" s="34"/>
      <c r="L95" s="3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3.25" x14ac:dyDescent="0.35">
      <c r="A96" s="43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44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46.5" x14ac:dyDescent="0.35">
      <c r="A97" s="22" t="s">
        <v>93</v>
      </c>
      <c r="B97" s="23" t="s">
        <v>94</v>
      </c>
      <c r="C97" s="23" t="s">
        <v>1</v>
      </c>
      <c r="D97" s="24" t="s">
        <v>284</v>
      </c>
      <c r="E97" s="24" t="s">
        <v>285</v>
      </c>
      <c r="F97" s="24" t="s">
        <v>286</v>
      </c>
      <c r="G97" s="24" t="s">
        <v>287</v>
      </c>
      <c r="H97" s="24" t="s">
        <v>286</v>
      </c>
      <c r="I97" s="24" t="s">
        <v>287</v>
      </c>
      <c r="J97" s="24" t="s">
        <v>288</v>
      </c>
      <c r="K97" s="24" t="s">
        <v>234</v>
      </c>
      <c r="L97" s="25" t="s">
        <v>302</v>
      </c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3.25" x14ac:dyDescent="0.35">
      <c r="A98" s="148" t="s">
        <v>59</v>
      </c>
      <c r="B98" s="145" t="s">
        <v>60</v>
      </c>
      <c r="C98" s="145" t="s">
        <v>301</v>
      </c>
      <c r="D98" s="27">
        <v>46100</v>
      </c>
      <c r="E98" s="28" t="s">
        <v>291</v>
      </c>
      <c r="F98" s="29">
        <v>0.29166666666666669</v>
      </c>
      <c r="G98" s="29">
        <v>0.54166666666666663</v>
      </c>
      <c r="H98" s="29">
        <v>0.58333333333333337</v>
      </c>
      <c r="I98" s="29">
        <v>0.75347222222222221</v>
      </c>
      <c r="J98" s="30">
        <f t="shared" ref="J98:J104" si="24">(((I98-H98)+(G98-F98))*24)</f>
        <v>10.08333333333333</v>
      </c>
      <c r="K98" s="30">
        <f t="shared" ref="K98:K100" si="25">J98-8</f>
        <v>2.0833333333333304</v>
      </c>
      <c r="L98" s="31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3.25" x14ac:dyDescent="0.35">
      <c r="A99" s="149"/>
      <c r="B99" s="146"/>
      <c r="C99" s="146"/>
      <c r="D99" s="27">
        <v>46101</v>
      </c>
      <c r="E99" s="28" t="s">
        <v>292</v>
      </c>
      <c r="F99" s="29">
        <v>0.29166666666666669</v>
      </c>
      <c r="G99" s="29">
        <v>0.54166666666666663</v>
      </c>
      <c r="H99" s="29">
        <v>0.58333333333333337</v>
      </c>
      <c r="I99" s="29">
        <v>0.75347222222222221</v>
      </c>
      <c r="J99" s="30">
        <f t="shared" si="24"/>
        <v>10.08333333333333</v>
      </c>
      <c r="K99" s="30">
        <f t="shared" si="25"/>
        <v>2.0833333333333304</v>
      </c>
      <c r="L99" s="31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3.25" x14ac:dyDescent="0.35">
      <c r="A100" s="149"/>
      <c r="B100" s="146"/>
      <c r="C100" s="146"/>
      <c r="D100" s="27">
        <v>46102</v>
      </c>
      <c r="E100" s="28" t="s">
        <v>293</v>
      </c>
      <c r="F100" s="29">
        <v>0.29166666666666669</v>
      </c>
      <c r="G100" s="29">
        <v>0.54166666666666663</v>
      </c>
      <c r="H100" s="29">
        <v>0.58333333333333337</v>
      </c>
      <c r="I100" s="29">
        <v>0.76388888888888884</v>
      </c>
      <c r="J100" s="30">
        <f t="shared" si="24"/>
        <v>10.33333333333333</v>
      </c>
      <c r="K100" s="30">
        <f t="shared" si="25"/>
        <v>2.3333333333333304</v>
      </c>
      <c r="L100" s="31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3.25" x14ac:dyDescent="0.35">
      <c r="A101" s="149"/>
      <c r="B101" s="146"/>
      <c r="C101" s="146"/>
      <c r="D101" s="27">
        <v>46103</v>
      </c>
      <c r="E101" s="28" t="s">
        <v>294</v>
      </c>
      <c r="F101" s="29"/>
      <c r="G101" s="29"/>
      <c r="H101" s="29"/>
      <c r="I101" s="29"/>
      <c r="J101" s="30">
        <f t="shared" si="24"/>
        <v>0</v>
      </c>
      <c r="K101" s="28"/>
      <c r="L101" s="31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3.25" x14ac:dyDescent="0.35">
      <c r="A102" s="149"/>
      <c r="B102" s="146"/>
      <c r="C102" s="146"/>
      <c r="D102" s="27">
        <v>46104</v>
      </c>
      <c r="E102" s="28" t="s">
        <v>295</v>
      </c>
      <c r="F102" s="29">
        <v>0.30555555555555558</v>
      </c>
      <c r="G102" s="29">
        <v>0.54166666666666663</v>
      </c>
      <c r="H102" s="29">
        <v>0.58333333333333337</v>
      </c>
      <c r="I102" s="29">
        <v>0.75694444444444442</v>
      </c>
      <c r="J102" s="30">
        <f t="shared" si="24"/>
        <v>9.8333333333333304</v>
      </c>
      <c r="K102" s="30">
        <f t="shared" ref="K102:K104" si="26">J102-8</f>
        <v>1.8333333333333304</v>
      </c>
      <c r="L102" s="31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3.25" x14ac:dyDescent="0.35">
      <c r="A103" s="149"/>
      <c r="B103" s="146"/>
      <c r="C103" s="146"/>
      <c r="D103" s="27">
        <v>46105</v>
      </c>
      <c r="E103" s="28" t="s">
        <v>296</v>
      </c>
      <c r="F103" s="29">
        <v>0.29166666666666669</v>
      </c>
      <c r="G103" s="29">
        <v>0.54166666666666663</v>
      </c>
      <c r="H103" s="29">
        <v>0.58333333333333337</v>
      </c>
      <c r="I103" s="29">
        <v>0.79166666666666663</v>
      </c>
      <c r="J103" s="30">
        <f t="shared" si="24"/>
        <v>10.999999999999996</v>
      </c>
      <c r="K103" s="30">
        <f t="shared" si="26"/>
        <v>2.9999999999999964</v>
      </c>
      <c r="L103" s="31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3.25" x14ac:dyDescent="0.35">
      <c r="A104" s="149"/>
      <c r="B104" s="146"/>
      <c r="C104" s="146"/>
      <c r="D104" s="27">
        <v>46106</v>
      </c>
      <c r="E104" s="28" t="s">
        <v>297</v>
      </c>
      <c r="F104" s="29">
        <v>0.29166666666666669</v>
      </c>
      <c r="G104" s="29">
        <v>0.54166666666666663</v>
      </c>
      <c r="H104" s="29">
        <v>0.58333333333333337</v>
      </c>
      <c r="I104" s="29">
        <v>0.79166666666666663</v>
      </c>
      <c r="J104" s="30">
        <f t="shared" si="24"/>
        <v>10.999999999999996</v>
      </c>
      <c r="K104" s="32">
        <f t="shared" si="26"/>
        <v>2.9999999999999964</v>
      </c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3.25" x14ac:dyDescent="0.35">
      <c r="A105" s="149"/>
      <c r="B105" s="146"/>
      <c r="C105" s="146"/>
      <c r="D105" s="27"/>
      <c r="E105" s="28"/>
      <c r="F105" s="29"/>
      <c r="G105" s="28"/>
      <c r="H105" s="26"/>
      <c r="I105" s="34" t="s">
        <v>298</v>
      </c>
      <c r="J105" s="35">
        <v>1000</v>
      </c>
      <c r="K105" s="34"/>
      <c r="L105" s="3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3.25" x14ac:dyDescent="0.35">
      <c r="A106" s="149"/>
      <c r="B106" s="146"/>
      <c r="C106" s="146"/>
      <c r="D106" s="27"/>
      <c r="E106" s="28"/>
      <c r="F106" s="28"/>
      <c r="G106" s="28"/>
      <c r="H106" s="37"/>
      <c r="I106" s="34" t="s">
        <v>299</v>
      </c>
      <c r="J106" s="35">
        <f>J105*(COUNTIF(J98:J104, "&gt;0.00"))</f>
        <v>6000</v>
      </c>
      <c r="K106" s="35">
        <f>(J105/8)*(SUM(K98:K104))</f>
        <v>1791.6666666666642</v>
      </c>
      <c r="L106" s="36">
        <f>SUM(L98:L104)</f>
        <v>0</v>
      </c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3.25" x14ac:dyDescent="0.35">
      <c r="A107" s="150"/>
      <c r="B107" s="147"/>
      <c r="C107" s="147"/>
      <c r="D107" s="38"/>
      <c r="E107" s="39"/>
      <c r="F107" s="39"/>
      <c r="G107" s="39"/>
      <c r="H107" s="40"/>
      <c r="I107" s="41" t="s">
        <v>300</v>
      </c>
      <c r="J107" s="42">
        <f>SUM(J106:K106)-L106</f>
        <v>7791.6666666666642</v>
      </c>
      <c r="K107" s="34"/>
      <c r="L107" s="3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3.25" x14ac:dyDescent="0.35">
      <c r="A108" s="66"/>
      <c r="B108" s="67"/>
      <c r="C108" s="67"/>
      <c r="D108" s="68"/>
      <c r="E108" s="68"/>
      <c r="F108" s="68"/>
      <c r="G108" s="68"/>
      <c r="H108" s="68"/>
      <c r="I108" s="68"/>
      <c r="J108" s="68"/>
      <c r="K108" s="68"/>
      <c r="L108" s="69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46.5" x14ac:dyDescent="0.35">
      <c r="A109" s="22" t="s">
        <v>93</v>
      </c>
      <c r="B109" s="23" t="s">
        <v>94</v>
      </c>
      <c r="C109" s="23" t="s">
        <v>1</v>
      </c>
      <c r="D109" s="24" t="s">
        <v>284</v>
      </c>
      <c r="E109" s="24" t="s">
        <v>285</v>
      </c>
      <c r="F109" s="24" t="s">
        <v>286</v>
      </c>
      <c r="G109" s="24" t="s">
        <v>287</v>
      </c>
      <c r="H109" s="24" t="s">
        <v>286</v>
      </c>
      <c r="I109" s="24" t="s">
        <v>287</v>
      </c>
      <c r="J109" s="24" t="s">
        <v>288</v>
      </c>
      <c r="K109" s="24" t="s">
        <v>234</v>
      </c>
      <c r="L109" s="25" t="s">
        <v>302</v>
      </c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3.25" x14ac:dyDescent="0.35">
      <c r="A110" s="148" t="s">
        <v>61</v>
      </c>
      <c r="B110" s="145" t="s">
        <v>62</v>
      </c>
      <c r="C110" s="145" t="s">
        <v>301</v>
      </c>
      <c r="D110" s="27">
        <v>46100</v>
      </c>
      <c r="E110" s="28" t="s">
        <v>291</v>
      </c>
      <c r="F110" s="29">
        <v>0.29166666666666669</v>
      </c>
      <c r="G110" s="29">
        <v>0.54166666666666663</v>
      </c>
      <c r="H110" s="29">
        <v>0.58333333333333337</v>
      </c>
      <c r="I110" s="29">
        <v>0.75347222222222221</v>
      </c>
      <c r="J110" s="30">
        <f t="shared" ref="J110:J116" si="27">(((I110-H110)+(G110-F110))*24)</f>
        <v>10.08333333333333</v>
      </c>
      <c r="K110" s="30">
        <f t="shared" ref="K110:K112" si="28">J110-8</f>
        <v>2.0833333333333304</v>
      </c>
      <c r="L110" s="31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3.25" x14ac:dyDescent="0.35">
      <c r="A111" s="149"/>
      <c r="B111" s="146"/>
      <c r="C111" s="146"/>
      <c r="D111" s="27">
        <v>46101</v>
      </c>
      <c r="E111" s="28" t="s">
        <v>292</v>
      </c>
      <c r="F111" s="29">
        <v>0.29166666666666669</v>
      </c>
      <c r="G111" s="29">
        <v>0.54166666666666663</v>
      </c>
      <c r="H111" s="29">
        <v>0.58333333333333337</v>
      </c>
      <c r="I111" s="29">
        <v>0.75347222222222221</v>
      </c>
      <c r="J111" s="30">
        <f t="shared" si="27"/>
        <v>10.08333333333333</v>
      </c>
      <c r="K111" s="30">
        <f t="shared" si="28"/>
        <v>2.0833333333333304</v>
      </c>
      <c r="L111" s="31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3.25" x14ac:dyDescent="0.35">
      <c r="A112" s="149"/>
      <c r="B112" s="146"/>
      <c r="C112" s="146"/>
      <c r="D112" s="27">
        <v>46102</v>
      </c>
      <c r="E112" s="28" t="s">
        <v>293</v>
      </c>
      <c r="F112" s="29">
        <v>0.29166666666666669</v>
      </c>
      <c r="G112" s="29">
        <v>0.54166666666666663</v>
      </c>
      <c r="H112" s="29">
        <v>0.58333333333333337</v>
      </c>
      <c r="I112" s="29">
        <v>0.77777777777777779</v>
      </c>
      <c r="J112" s="30">
        <f t="shared" si="27"/>
        <v>10.666666666666664</v>
      </c>
      <c r="K112" s="30">
        <f t="shared" si="28"/>
        <v>2.6666666666666643</v>
      </c>
      <c r="L112" s="31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3.25" x14ac:dyDescent="0.35">
      <c r="A113" s="149"/>
      <c r="B113" s="146"/>
      <c r="C113" s="146"/>
      <c r="D113" s="27">
        <v>46103</v>
      </c>
      <c r="E113" s="28" t="s">
        <v>294</v>
      </c>
      <c r="F113" s="29"/>
      <c r="G113" s="29"/>
      <c r="H113" s="29"/>
      <c r="I113" s="29"/>
      <c r="J113" s="30">
        <f t="shared" si="27"/>
        <v>0</v>
      </c>
      <c r="K113" s="28"/>
      <c r="L113" s="31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3.25" x14ac:dyDescent="0.35">
      <c r="A114" s="149"/>
      <c r="B114" s="146"/>
      <c r="C114" s="146"/>
      <c r="D114" s="27">
        <v>46104</v>
      </c>
      <c r="E114" s="28" t="s">
        <v>295</v>
      </c>
      <c r="F114" s="29">
        <v>0.2986111111111111</v>
      </c>
      <c r="G114" s="29">
        <v>0.54166666666666663</v>
      </c>
      <c r="H114" s="29">
        <v>0.58333333333333337</v>
      </c>
      <c r="I114" s="29">
        <v>0.75694444444444442</v>
      </c>
      <c r="J114" s="30">
        <f t="shared" si="27"/>
        <v>9.9999999999999982</v>
      </c>
      <c r="K114" s="30">
        <f t="shared" ref="K114:K116" si="29">J114-8</f>
        <v>1.9999999999999982</v>
      </c>
      <c r="L114" s="31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3.25" x14ac:dyDescent="0.35">
      <c r="A115" s="149"/>
      <c r="B115" s="146"/>
      <c r="C115" s="146"/>
      <c r="D115" s="27">
        <v>46105</v>
      </c>
      <c r="E115" s="28" t="s">
        <v>296</v>
      </c>
      <c r="F115" s="29">
        <v>0.29166666666666669</v>
      </c>
      <c r="G115" s="29">
        <v>0.54166666666666663</v>
      </c>
      <c r="H115" s="29">
        <v>0.58333333333333337</v>
      </c>
      <c r="I115" s="29">
        <v>0.75</v>
      </c>
      <c r="J115" s="30">
        <f t="shared" si="27"/>
        <v>9.9999999999999982</v>
      </c>
      <c r="K115" s="30">
        <f t="shared" si="29"/>
        <v>1.9999999999999982</v>
      </c>
      <c r="L115" s="31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3.25" x14ac:dyDescent="0.35">
      <c r="A116" s="149"/>
      <c r="B116" s="146"/>
      <c r="C116" s="146"/>
      <c r="D116" s="27">
        <v>46106</v>
      </c>
      <c r="E116" s="28" t="s">
        <v>297</v>
      </c>
      <c r="F116" s="29">
        <v>0.29166666666666669</v>
      </c>
      <c r="G116" s="29">
        <v>0.54166666666666663</v>
      </c>
      <c r="H116" s="29">
        <v>0.58333333333333337</v>
      </c>
      <c r="I116" s="29">
        <v>0.79166666666666663</v>
      </c>
      <c r="J116" s="30">
        <f t="shared" si="27"/>
        <v>10.999999999999996</v>
      </c>
      <c r="K116" s="32">
        <f t="shared" si="29"/>
        <v>2.9999999999999964</v>
      </c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3.25" x14ac:dyDescent="0.35">
      <c r="A117" s="149"/>
      <c r="B117" s="146"/>
      <c r="C117" s="146"/>
      <c r="D117" s="27"/>
      <c r="E117" s="28"/>
      <c r="F117" s="29"/>
      <c r="G117" s="28"/>
      <c r="H117" s="26"/>
      <c r="I117" s="34" t="s">
        <v>298</v>
      </c>
      <c r="J117" s="35">
        <v>1000</v>
      </c>
      <c r="K117" s="34"/>
      <c r="L117" s="3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3.25" x14ac:dyDescent="0.35">
      <c r="A118" s="149"/>
      <c r="B118" s="146"/>
      <c r="C118" s="146"/>
      <c r="D118" s="27"/>
      <c r="E118" s="28"/>
      <c r="F118" s="28"/>
      <c r="G118" s="28"/>
      <c r="H118" s="37"/>
      <c r="I118" s="34" t="s">
        <v>299</v>
      </c>
      <c r="J118" s="35">
        <f>J117*(COUNTIF(J110:J116, "&gt;0.00"))</f>
        <v>6000</v>
      </c>
      <c r="K118" s="35">
        <f>(J117/8)*(SUM(K110:K116))</f>
        <v>1729.1666666666647</v>
      </c>
      <c r="L118" s="36">
        <f>SUM(L110:L116)</f>
        <v>0</v>
      </c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3.25" x14ac:dyDescent="0.35">
      <c r="A119" s="150"/>
      <c r="B119" s="147"/>
      <c r="C119" s="147"/>
      <c r="D119" s="38"/>
      <c r="E119" s="39"/>
      <c r="F119" s="39"/>
      <c r="G119" s="39"/>
      <c r="H119" s="40"/>
      <c r="I119" s="41" t="s">
        <v>300</v>
      </c>
      <c r="J119" s="42">
        <f>SUM(J118:K118)-L118</f>
        <v>7729.1666666666642</v>
      </c>
      <c r="K119" s="34"/>
      <c r="L119" s="3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3.25" x14ac:dyDescent="0.35">
      <c r="A120" s="43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44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46.5" x14ac:dyDescent="0.35">
      <c r="A121" s="22" t="s">
        <v>93</v>
      </c>
      <c r="B121" s="23" t="s">
        <v>94</v>
      </c>
      <c r="C121" s="23" t="s">
        <v>1</v>
      </c>
      <c r="D121" s="24" t="s">
        <v>284</v>
      </c>
      <c r="E121" s="24" t="s">
        <v>285</v>
      </c>
      <c r="F121" s="24" t="s">
        <v>286</v>
      </c>
      <c r="G121" s="24" t="s">
        <v>287</v>
      </c>
      <c r="H121" s="24" t="s">
        <v>286</v>
      </c>
      <c r="I121" s="24" t="s">
        <v>287</v>
      </c>
      <c r="J121" s="24" t="s">
        <v>288</v>
      </c>
      <c r="K121" s="24" t="s">
        <v>234</v>
      </c>
      <c r="L121" s="25" t="s">
        <v>302</v>
      </c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3.25" x14ac:dyDescent="0.35">
      <c r="A122" s="148" t="s">
        <v>64</v>
      </c>
      <c r="B122" s="145" t="s">
        <v>112</v>
      </c>
      <c r="C122" s="145" t="s">
        <v>301</v>
      </c>
      <c r="D122" s="27">
        <v>46100</v>
      </c>
      <c r="E122" s="28" t="s">
        <v>291</v>
      </c>
      <c r="F122" s="29">
        <v>0.29166666666666669</v>
      </c>
      <c r="G122" s="29">
        <v>0.54166666666666663</v>
      </c>
      <c r="H122" s="29">
        <v>0.58333333333333337</v>
      </c>
      <c r="I122" s="29">
        <v>0.75347222222222221</v>
      </c>
      <c r="J122" s="30">
        <f t="shared" ref="J122:J128" si="30">(((I122-H122)+(G122-F122))*24)</f>
        <v>10.08333333333333</v>
      </c>
      <c r="K122" s="30">
        <f t="shared" ref="K122:K124" si="31">J122-8</f>
        <v>2.0833333333333304</v>
      </c>
      <c r="L122" s="31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3.25" x14ac:dyDescent="0.35">
      <c r="A123" s="149"/>
      <c r="B123" s="146"/>
      <c r="C123" s="146"/>
      <c r="D123" s="27">
        <v>46101</v>
      </c>
      <c r="E123" s="28" t="s">
        <v>292</v>
      </c>
      <c r="F123" s="29">
        <v>0.29166666666666669</v>
      </c>
      <c r="G123" s="29">
        <v>0.54166666666666663</v>
      </c>
      <c r="H123" s="29">
        <v>0.58333333333333337</v>
      </c>
      <c r="I123" s="29">
        <v>0.75347222222222221</v>
      </c>
      <c r="J123" s="30">
        <f t="shared" si="30"/>
        <v>10.08333333333333</v>
      </c>
      <c r="K123" s="30">
        <f t="shared" si="31"/>
        <v>2.0833333333333304</v>
      </c>
      <c r="L123" s="31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3.25" x14ac:dyDescent="0.35">
      <c r="A124" s="149"/>
      <c r="B124" s="146"/>
      <c r="C124" s="146"/>
      <c r="D124" s="27">
        <v>46102</v>
      </c>
      <c r="E124" s="28" t="s">
        <v>293</v>
      </c>
      <c r="F124" s="29">
        <v>0.29166666666666669</v>
      </c>
      <c r="G124" s="29">
        <v>0.54166666666666663</v>
      </c>
      <c r="H124" s="29">
        <v>0.58333333333333337</v>
      </c>
      <c r="I124" s="29">
        <v>0.76388888888888884</v>
      </c>
      <c r="J124" s="30">
        <f t="shared" si="30"/>
        <v>10.33333333333333</v>
      </c>
      <c r="K124" s="30">
        <f t="shared" si="31"/>
        <v>2.3333333333333304</v>
      </c>
      <c r="L124" s="31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3.25" x14ac:dyDescent="0.35">
      <c r="A125" s="149"/>
      <c r="B125" s="146"/>
      <c r="C125" s="146"/>
      <c r="D125" s="27">
        <v>46103</v>
      </c>
      <c r="E125" s="28" t="s">
        <v>294</v>
      </c>
      <c r="F125" s="29"/>
      <c r="G125" s="29"/>
      <c r="H125" s="29"/>
      <c r="I125" s="29"/>
      <c r="J125" s="30">
        <f t="shared" si="30"/>
        <v>0</v>
      </c>
      <c r="K125" s="28"/>
      <c r="L125" s="31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3.25" x14ac:dyDescent="0.35">
      <c r="A126" s="149"/>
      <c r="B126" s="146"/>
      <c r="C126" s="146"/>
      <c r="D126" s="27">
        <v>46104</v>
      </c>
      <c r="E126" s="28" t="s">
        <v>295</v>
      </c>
      <c r="F126" s="29">
        <v>0.29166666666666669</v>
      </c>
      <c r="G126" s="29">
        <v>0.54166666666666663</v>
      </c>
      <c r="H126" s="29">
        <v>0.58333333333333337</v>
      </c>
      <c r="I126" s="29">
        <v>0.75694444444444442</v>
      </c>
      <c r="J126" s="30">
        <f t="shared" si="30"/>
        <v>10.166666666666664</v>
      </c>
      <c r="K126" s="30">
        <f t="shared" ref="K126:K128" si="32">J126-8</f>
        <v>2.1666666666666643</v>
      </c>
      <c r="L126" s="31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3.25" x14ac:dyDescent="0.35">
      <c r="A127" s="149"/>
      <c r="B127" s="146"/>
      <c r="C127" s="146"/>
      <c r="D127" s="27">
        <v>46105</v>
      </c>
      <c r="E127" s="28" t="s">
        <v>296</v>
      </c>
      <c r="F127" s="29">
        <v>0.29166666666666669</v>
      </c>
      <c r="G127" s="29">
        <v>0.54166666666666663</v>
      </c>
      <c r="H127" s="29">
        <v>0.58333333333333337</v>
      </c>
      <c r="I127" s="29">
        <v>0.79166666666666663</v>
      </c>
      <c r="J127" s="30">
        <f t="shared" si="30"/>
        <v>10.999999999999996</v>
      </c>
      <c r="K127" s="30">
        <f t="shared" si="32"/>
        <v>2.9999999999999964</v>
      </c>
      <c r="L127" s="31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3.25" x14ac:dyDescent="0.35">
      <c r="A128" s="149"/>
      <c r="B128" s="146"/>
      <c r="C128" s="146"/>
      <c r="D128" s="27">
        <v>46106</v>
      </c>
      <c r="E128" s="28" t="s">
        <v>297</v>
      </c>
      <c r="F128" s="29">
        <v>0.29166666666666669</v>
      </c>
      <c r="G128" s="29">
        <v>0.54166666666666663</v>
      </c>
      <c r="H128" s="29">
        <v>0.58333333333333337</v>
      </c>
      <c r="I128" s="29">
        <v>0.79166666666666663</v>
      </c>
      <c r="J128" s="30">
        <f t="shared" si="30"/>
        <v>10.999999999999996</v>
      </c>
      <c r="K128" s="30">
        <f t="shared" si="32"/>
        <v>2.9999999999999964</v>
      </c>
      <c r="L128" s="33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3.25" x14ac:dyDescent="0.35">
      <c r="A129" s="149"/>
      <c r="B129" s="146"/>
      <c r="C129" s="146"/>
      <c r="D129" s="27"/>
      <c r="E129" s="28"/>
      <c r="F129" s="28"/>
      <c r="G129" s="28"/>
      <c r="H129" s="26"/>
      <c r="I129" s="34" t="s">
        <v>298</v>
      </c>
      <c r="J129" s="35">
        <v>800</v>
      </c>
      <c r="K129" s="34"/>
      <c r="L129" s="3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3.25" x14ac:dyDescent="0.35">
      <c r="A130" s="149"/>
      <c r="B130" s="146"/>
      <c r="C130" s="146"/>
      <c r="D130" s="27"/>
      <c r="E130" s="28"/>
      <c r="F130" s="28"/>
      <c r="G130" s="28"/>
      <c r="H130" s="37"/>
      <c r="I130" s="34" t="s">
        <v>299</v>
      </c>
      <c r="J130" s="35">
        <f>J129*(COUNTIF(J122:J128, "&gt;0.00"))</f>
        <v>4800</v>
      </c>
      <c r="K130" s="35">
        <f>(J129/8)*(SUM(K122:K128))</f>
        <v>1466.6666666666649</v>
      </c>
      <c r="L130" s="36">
        <f>SUM(L122:L128)</f>
        <v>0</v>
      </c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3.25" x14ac:dyDescent="0.35">
      <c r="A131" s="150"/>
      <c r="B131" s="147"/>
      <c r="C131" s="147"/>
      <c r="D131" s="38"/>
      <c r="E131" s="39"/>
      <c r="F131" s="39"/>
      <c r="G131" s="39"/>
      <c r="H131" s="40"/>
      <c r="I131" s="41" t="s">
        <v>300</v>
      </c>
      <c r="J131" s="42">
        <f>SUM(J130:K130)-L130</f>
        <v>6266.6666666666652</v>
      </c>
      <c r="K131" s="34"/>
      <c r="L131" s="3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3.25" x14ac:dyDescent="0.35">
      <c r="A132" s="43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44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46.5" x14ac:dyDescent="0.35">
      <c r="A133" s="22" t="s">
        <v>303</v>
      </c>
      <c r="B133" s="23" t="s">
        <v>94</v>
      </c>
      <c r="C133" s="23" t="s">
        <v>1</v>
      </c>
      <c r="D133" s="24" t="s">
        <v>284</v>
      </c>
      <c r="E133" s="24" t="s">
        <v>285</v>
      </c>
      <c r="F133" s="24" t="s">
        <v>286</v>
      </c>
      <c r="G133" s="24" t="s">
        <v>287</v>
      </c>
      <c r="H133" s="24" t="s">
        <v>286</v>
      </c>
      <c r="I133" s="24" t="s">
        <v>287</v>
      </c>
      <c r="J133" s="24" t="s">
        <v>288</v>
      </c>
      <c r="K133" s="24" t="s">
        <v>234</v>
      </c>
      <c r="L133" s="25" t="s">
        <v>302</v>
      </c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3.25" x14ac:dyDescent="0.35">
      <c r="A134" s="148" t="s">
        <v>196</v>
      </c>
      <c r="B134" s="145" t="s">
        <v>71</v>
      </c>
      <c r="C134" s="145" t="s">
        <v>16</v>
      </c>
      <c r="D134" s="27">
        <v>46100</v>
      </c>
      <c r="E134" s="28" t="s">
        <v>291</v>
      </c>
      <c r="F134" s="29">
        <v>0.29166666666666669</v>
      </c>
      <c r="G134" s="29">
        <v>0.54166666666666663</v>
      </c>
      <c r="H134" s="29">
        <v>0.58333333333333337</v>
      </c>
      <c r="I134" s="29">
        <v>0.75277777777777777</v>
      </c>
      <c r="J134" s="30">
        <f t="shared" ref="J134:J140" si="33">(((I134-H134)+(G134-F134))*24)</f>
        <v>10.066666666666665</v>
      </c>
      <c r="K134" s="30">
        <f t="shared" ref="K134:K136" si="34">J134-8</f>
        <v>2.0666666666666647</v>
      </c>
      <c r="L134" s="31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3.25" x14ac:dyDescent="0.35">
      <c r="A135" s="149"/>
      <c r="B135" s="146"/>
      <c r="C135" s="146"/>
      <c r="D135" s="27">
        <v>46101</v>
      </c>
      <c r="E135" s="28" t="s">
        <v>292</v>
      </c>
      <c r="F135" s="29">
        <v>0.29166666666666669</v>
      </c>
      <c r="G135" s="29">
        <v>0.54166666666666663</v>
      </c>
      <c r="H135" s="29">
        <v>0.58333333333333337</v>
      </c>
      <c r="I135" s="29">
        <v>0.75347222222222221</v>
      </c>
      <c r="J135" s="30">
        <f t="shared" si="33"/>
        <v>10.08333333333333</v>
      </c>
      <c r="K135" s="30">
        <f t="shared" si="34"/>
        <v>2.0833333333333304</v>
      </c>
      <c r="L135" s="31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3.25" x14ac:dyDescent="0.35">
      <c r="A136" s="149"/>
      <c r="B136" s="146"/>
      <c r="C136" s="146"/>
      <c r="D136" s="27">
        <v>46102</v>
      </c>
      <c r="E136" s="28" t="s">
        <v>293</v>
      </c>
      <c r="F136" s="29">
        <v>0.29166666666666669</v>
      </c>
      <c r="G136" s="29">
        <v>0.54166666666666663</v>
      </c>
      <c r="H136" s="29">
        <v>0.58333333333333337</v>
      </c>
      <c r="I136" s="29">
        <v>0.76388888888888884</v>
      </c>
      <c r="J136" s="30">
        <f t="shared" si="33"/>
        <v>10.33333333333333</v>
      </c>
      <c r="K136" s="30">
        <f t="shared" si="34"/>
        <v>2.3333333333333304</v>
      </c>
      <c r="L136" s="31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3.25" x14ac:dyDescent="0.35">
      <c r="A137" s="149"/>
      <c r="B137" s="146"/>
      <c r="C137" s="146"/>
      <c r="D137" s="27">
        <v>46103</v>
      </c>
      <c r="E137" s="28" t="s">
        <v>294</v>
      </c>
      <c r="F137" s="29"/>
      <c r="G137" s="29"/>
      <c r="H137" s="29"/>
      <c r="I137" s="29"/>
      <c r="J137" s="30">
        <f t="shared" si="33"/>
        <v>0</v>
      </c>
      <c r="K137" s="28"/>
      <c r="L137" s="31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3.25" x14ac:dyDescent="0.35">
      <c r="A138" s="149"/>
      <c r="B138" s="146"/>
      <c r="C138" s="146"/>
      <c r="D138" s="27">
        <v>46104</v>
      </c>
      <c r="E138" s="28" t="s">
        <v>295</v>
      </c>
      <c r="F138" s="29">
        <v>0.29166666666666669</v>
      </c>
      <c r="G138" s="29">
        <v>0.54166666666666663</v>
      </c>
      <c r="H138" s="29">
        <v>0.58333333333333337</v>
      </c>
      <c r="I138" s="29">
        <v>0.75694444444444442</v>
      </c>
      <c r="J138" s="30">
        <f t="shared" si="33"/>
        <v>10.166666666666664</v>
      </c>
      <c r="K138" s="30">
        <f t="shared" ref="K138:K140" si="35">J138-8</f>
        <v>2.1666666666666643</v>
      </c>
      <c r="L138" s="31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3.25" x14ac:dyDescent="0.35">
      <c r="A139" s="149"/>
      <c r="B139" s="146"/>
      <c r="C139" s="146"/>
      <c r="D139" s="27">
        <v>46105</v>
      </c>
      <c r="E139" s="28" t="s">
        <v>296</v>
      </c>
      <c r="F139" s="29">
        <v>0.29166666666666669</v>
      </c>
      <c r="G139" s="29">
        <v>0.54166666666666663</v>
      </c>
      <c r="H139" s="29">
        <v>0.58333333333333337</v>
      </c>
      <c r="I139" s="29">
        <v>0.79166666666666663</v>
      </c>
      <c r="J139" s="30">
        <f t="shared" si="33"/>
        <v>10.999999999999996</v>
      </c>
      <c r="K139" s="30">
        <f t="shared" si="35"/>
        <v>2.9999999999999964</v>
      </c>
      <c r="L139" s="31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3.25" x14ac:dyDescent="0.35">
      <c r="A140" s="149"/>
      <c r="B140" s="146"/>
      <c r="C140" s="146"/>
      <c r="D140" s="27">
        <v>46106</v>
      </c>
      <c r="E140" s="28" t="s">
        <v>297</v>
      </c>
      <c r="F140" s="29">
        <v>0.29166666666666669</v>
      </c>
      <c r="G140" s="29">
        <v>0.54166666666666663</v>
      </c>
      <c r="H140" s="29">
        <v>0.58333333333333337</v>
      </c>
      <c r="I140" s="29">
        <v>0.79166666666666663</v>
      </c>
      <c r="J140" s="30">
        <f t="shared" si="33"/>
        <v>10.999999999999996</v>
      </c>
      <c r="K140" s="32">
        <f t="shared" si="35"/>
        <v>2.9999999999999964</v>
      </c>
      <c r="L140" s="33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3.25" x14ac:dyDescent="0.35">
      <c r="A141" s="149"/>
      <c r="B141" s="146"/>
      <c r="C141" s="146"/>
      <c r="D141" s="27"/>
      <c r="E141" s="28"/>
      <c r="F141" s="28"/>
      <c r="G141" s="28"/>
      <c r="H141" s="26"/>
      <c r="I141" s="34" t="s">
        <v>298</v>
      </c>
      <c r="J141" s="35">
        <v>1000</v>
      </c>
      <c r="K141" s="34"/>
      <c r="L141" s="3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3.25" x14ac:dyDescent="0.35">
      <c r="A142" s="149"/>
      <c r="B142" s="146"/>
      <c r="C142" s="146"/>
      <c r="D142" s="27"/>
      <c r="E142" s="28"/>
      <c r="F142" s="28"/>
      <c r="G142" s="28"/>
      <c r="H142" s="37"/>
      <c r="I142" s="34" t="s">
        <v>299</v>
      </c>
      <c r="J142" s="35">
        <f>J141*(COUNTIF(J134:J140, "&gt;0.00"))</f>
        <v>6000</v>
      </c>
      <c r="K142" s="35">
        <f>(J141/8)*(SUM(K134:K140))</f>
        <v>1831.2499999999977</v>
      </c>
      <c r="L142" s="36">
        <f>SUM(L134:L140)</f>
        <v>0</v>
      </c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3.25" x14ac:dyDescent="0.35">
      <c r="A143" s="150"/>
      <c r="B143" s="147"/>
      <c r="C143" s="147"/>
      <c r="D143" s="38"/>
      <c r="E143" s="39"/>
      <c r="F143" s="39"/>
      <c r="G143" s="39"/>
      <c r="H143" s="40"/>
      <c r="I143" s="41" t="s">
        <v>300</v>
      </c>
      <c r="J143" s="42">
        <f>SUM(J142:K142)-L142</f>
        <v>7831.2499999999982</v>
      </c>
      <c r="K143" s="34"/>
      <c r="L143" s="3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3.25" x14ac:dyDescent="0.35">
      <c r="A144" s="43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44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46.5" x14ac:dyDescent="0.35">
      <c r="A145" s="22" t="s">
        <v>93</v>
      </c>
      <c r="B145" s="23" t="s">
        <v>94</v>
      </c>
      <c r="C145" s="23" t="s">
        <v>1</v>
      </c>
      <c r="D145" s="24" t="s">
        <v>284</v>
      </c>
      <c r="E145" s="24" t="s">
        <v>285</v>
      </c>
      <c r="F145" s="24" t="s">
        <v>286</v>
      </c>
      <c r="G145" s="24" t="s">
        <v>287</v>
      </c>
      <c r="H145" s="24" t="s">
        <v>286</v>
      </c>
      <c r="I145" s="24" t="s">
        <v>287</v>
      </c>
      <c r="J145" s="24" t="s">
        <v>288</v>
      </c>
      <c r="K145" s="24" t="s">
        <v>234</v>
      </c>
      <c r="L145" s="25" t="s">
        <v>302</v>
      </c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3.25" x14ac:dyDescent="0.35">
      <c r="A146" s="148" t="s">
        <v>198</v>
      </c>
      <c r="B146" s="145" t="s">
        <v>74</v>
      </c>
      <c r="C146" s="145" t="s">
        <v>16</v>
      </c>
      <c r="D146" s="27">
        <v>46100</v>
      </c>
      <c r="E146" s="28" t="s">
        <v>291</v>
      </c>
      <c r="F146" s="29">
        <v>0.29166666666666669</v>
      </c>
      <c r="G146" s="29">
        <v>0.54166666666666663</v>
      </c>
      <c r="H146" s="29">
        <v>0.58333333333333337</v>
      </c>
      <c r="I146" s="29">
        <v>0.75347222222222221</v>
      </c>
      <c r="J146" s="30">
        <f t="shared" ref="J146:J152" si="36">(((I146-H146)+(G146-F146))*24)</f>
        <v>10.08333333333333</v>
      </c>
      <c r="K146" s="30">
        <f t="shared" ref="K146:K148" si="37">J146-8</f>
        <v>2.0833333333333304</v>
      </c>
      <c r="L146" s="31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3.25" x14ac:dyDescent="0.35">
      <c r="A147" s="149"/>
      <c r="B147" s="146"/>
      <c r="C147" s="146"/>
      <c r="D147" s="27">
        <v>46101</v>
      </c>
      <c r="E147" s="28" t="s">
        <v>292</v>
      </c>
      <c r="F147" s="29">
        <v>0.2902777777777778</v>
      </c>
      <c r="G147" s="29">
        <v>0.54166666666666663</v>
      </c>
      <c r="H147" s="29">
        <v>0.58333333333333337</v>
      </c>
      <c r="I147" s="29">
        <v>0.75347222222222221</v>
      </c>
      <c r="J147" s="30">
        <f t="shared" si="36"/>
        <v>10.116666666666664</v>
      </c>
      <c r="K147" s="30">
        <f t="shared" si="37"/>
        <v>2.1166666666666636</v>
      </c>
      <c r="L147" s="31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3.25" x14ac:dyDescent="0.35">
      <c r="A148" s="149"/>
      <c r="B148" s="146"/>
      <c r="C148" s="146"/>
      <c r="D148" s="27">
        <v>46102</v>
      </c>
      <c r="E148" s="28" t="s">
        <v>293</v>
      </c>
      <c r="F148" s="29">
        <v>0.29166666666666669</v>
      </c>
      <c r="G148" s="29">
        <v>0.54166666666666663</v>
      </c>
      <c r="H148" s="29">
        <v>0.58333333333333337</v>
      </c>
      <c r="I148" s="29">
        <v>0.77777777777777779</v>
      </c>
      <c r="J148" s="30">
        <f t="shared" si="36"/>
        <v>10.666666666666664</v>
      </c>
      <c r="K148" s="30">
        <f t="shared" si="37"/>
        <v>2.6666666666666643</v>
      </c>
      <c r="L148" s="31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3.25" x14ac:dyDescent="0.35">
      <c r="A149" s="149"/>
      <c r="B149" s="146"/>
      <c r="C149" s="146"/>
      <c r="D149" s="27">
        <v>46103</v>
      </c>
      <c r="E149" s="28" t="s">
        <v>294</v>
      </c>
      <c r="F149" s="29"/>
      <c r="G149" s="29"/>
      <c r="H149" s="29"/>
      <c r="I149" s="29"/>
      <c r="J149" s="30">
        <f t="shared" si="36"/>
        <v>0</v>
      </c>
      <c r="K149" s="28"/>
      <c r="L149" s="31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3.25" x14ac:dyDescent="0.35">
      <c r="A150" s="149"/>
      <c r="B150" s="146"/>
      <c r="C150" s="146"/>
      <c r="D150" s="27">
        <v>46104</v>
      </c>
      <c r="E150" s="28" t="s">
        <v>295</v>
      </c>
      <c r="F150" s="29">
        <v>0.29166666666666669</v>
      </c>
      <c r="G150" s="29">
        <v>0.54166666666666663</v>
      </c>
      <c r="H150" s="29">
        <v>0.58333333333333337</v>
      </c>
      <c r="I150" s="29">
        <v>0.75694444444444442</v>
      </c>
      <c r="J150" s="30">
        <f t="shared" si="36"/>
        <v>10.166666666666664</v>
      </c>
      <c r="K150" s="30">
        <f t="shared" ref="K150:K152" si="38">J150-8</f>
        <v>2.1666666666666643</v>
      </c>
      <c r="L150" s="31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3.25" x14ac:dyDescent="0.35">
      <c r="A151" s="149"/>
      <c r="B151" s="146"/>
      <c r="C151" s="146"/>
      <c r="D151" s="27">
        <v>46105</v>
      </c>
      <c r="E151" s="28" t="s">
        <v>296</v>
      </c>
      <c r="F151" s="29">
        <v>0.29166666666666669</v>
      </c>
      <c r="G151" s="29">
        <v>0.54166666666666663</v>
      </c>
      <c r="H151" s="29">
        <v>0.58333333333333337</v>
      </c>
      <c r="I151" s="29">
        <v>0.79166666666666663</v>
      </c>
      <c r="J151" s="30">
        <f t="shared" si="36"/>
        <v>10.999999999999996</v>
      </c>
      <c r="K151" s="30">
        <f t="shared" si="38"/>
        <v>2.9999999999999964</v>
      </c>
      <c r="L151" s="31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3.25" x14ac:dyDescent="0.35">
      <c r="A152" s="149"/>
      <c r="B152" s="146"/>
      <c r="C152" s="146"/>
      <c r="D152" s="27">
        <v>46106</v>
      </c>
      <c r="E152" s="28" t="s">
        <v>297</v>
      </c>
      <c r="F152" s="29">
        <v>0.29166666666666669</v>
      </c>
      <c r="G152" s="29">
        <v>0.54166666666666663</v>
      </c>
      <c r="H152" s="29">
        <v>0.58333333333333337</v>
      </c>
      <c r="I152" s="29">
        <v>0.79166666666666663</v>
      </c>
      <c r="J152" s="30">
        <f t="shared" si="36"/>
        <v>10.999999999999996</v>
      </c>
      <c r="K152" s="32">
        <f t="shared" si="38"/>
        <v>2.9999999999999964</v>
      </c>
      <c r="L152" s="33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3.25" x14ac:dyDescent="0.35">
      <c r="A153" s="149"/>
      <c r="B153" s="146"/>
      <c r="C153" s="146"/>
      <c r="D153" s="27"/>
      <c r="E153" s="28"/>
      <c r="F153" s="28"/>
      <c r="G153" s="28"/>
      <c r="H153" s="26"/>
      <c r="I153" s="34" t="s">
        <v>298</v>
      </c>
      <c r="J153" s="35">
        <v>1000</v>
      </c>
      <c r="K153" s="34"/>
      <c r="L153" s="3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3.25" x14ac:dyDescent="0.35">
      <c r="A154" s="149"/>
      <c r="B154" s="146"/>
      <c r="C154" s="146"/>
      <c r="D154" s="27"/>
      <c r="E154" s="28"/>
      <c r="F154" s="28"/>
      <c r="G154" s="28"/>
      <c r="H154" s="37"/>
      <c r="I154" s="34" t="s">
        <v>299</v>
      </c>
      <c r="J154" s="35">
        <f>J153*(COUNTIF(J146:J152, "&gt;0.00"))</f>
        <v>6000</v>
      </c>
      <c r="K154" s="35">
        <f>(J153/8)*(SUM(K146:K152))</f>
        <v>1879.1666666666645</v>
      </c>
      <c r="L154" s="36">
        <f>SUM(L146:L152)</f>
        <v>0</v>
      </c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3.25" x14ac:dyDescent="0.35">
      <c r="A155" s="150"/>
      <c r="B155" s="147"/>
      <c r="C155" s="147"/>
      <c r="D155" s="38"/>
      <c r="E155" s="39"/>
      <c r="F155" s="39"/>
      <c r="G155" s="39"/>
      <c r="H155" s="40"/>
      <c r="I155" s="41" t="s">
        <v>300</v>
      </c>
      <c r="J155" s="42">
        <f>SUM(J154:K154)-L154</f>
        <v>7879.1666666666642</v>
      </c>
      <c r="K155" s="34"/>
      <c r="L155" s="3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3.25" x14ac:dyDescent="0.35">
      <c r="A156" s="43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44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46.5" x14ac:dyDescent="0.35">
      <c r="A157" s="22" t="s">
        <v>93</v>
      </c>
      <c r="B157" s="23" t="s">
        <v>94</v>
      </c>
      <c r="C157" s="23" t="s">
        <v>1</v>
      </c>
      <c r="D157" s="24" t="s">
        <v>284</v>
      </c>
      <c r="E157" s="24" t="s">
        <v>285</v>
      </c>
      <c r="F157" s="24" t="s">
        <v>286</v>
      </c>
      <c r="G157" s="24" t="s">
        <v>287</v>
      </c>
      <c r="H157" s="24" t="s">
        <v>286</v>
      </c>
      <c r="I157" s="24" t="s">
        <v>287</v>
      </c>
      <c r="J157" s="24" t="s">
        <v>288</v>
      </c>
      <c r="K157" s="24" t="s">
        <v>234</v>
      </c>
      <c r="L157" s="25" t="s">
        <v>302</v>
      </c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3.25" x14ac:dyDescent="0.35">
      <c r="A158" s="148" t="s">
        <v>200</v>
      </c>
      <c r="B158" s="145" t="s">
        <v>86</v>
      </c>
      <c r="C158" s="145" t="s">
        <v>16</v>
      </c>
      <c r="D158" s="27">
        <v>46100</v>
      </c>
      <c r="E158" s="28" t="s">
        <v>291</v>
      </c>
      <c r="F158" s="29">
        <v>0.29166666666666669</v>
      </c>
      <c r="G158" s="29">
        <v>0.54166666666666663</v>
      </c>
      <c r="H158" s="29">
        <v>0.58333333333333337</v>
      </c>
      <c r="I158" s="29">
        <v>0.75347222222222221</v>
      </c>
      <c r="J158" s="30">
        <f t="shared" ref="J158:J164" si="39">(((I158-H158)+(G158-F158))*24)</f>
        <v>10.08333333333333</v>
      </c>
      <c r="K158" s="30">
        <f t="shared" ref="K158:K160" si="40">J158-8</f>
        <v>2.0833333333333304</v>
      </c>
      <c r="L158" s="31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3.25" x14ac:dyDescent="0.35">
      <c r="A159" s="149"/>
      <c r="B159" s="146"/>
      <c r="C159" s="146"/>
      <c r="D159" s="27">
        <v>46101</v>
      </c>
      <c r="E159" s="28" t="s">
        <v>292</v>
      </c>
      <c r="F159" s="29">
        <v>0.29166666666666669</v>
      </c>
      <c r="G159" s="29">
        <v>0.54166666666666663</v>
      </c>
      <c r="H159" s="29">
        <v>0.58333333333333337</v>
      </c>
      <c r="I159" s="29">
        <v>0.75347222222222221</v>
      </c>
      <c r="J159" s="30">
        <f t="shared" si="39"/>
        <v>10.08333333333333</v>
      </c>
      <c r="K159" s="30">
        <f t="shared" si="40"/>
        <v>2.0833333333333304</v>
      </c>
      <c r="L159" s="31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3.25" x14ac:dyDescent="0.35">
      <c r="A160" s="149"/>
      <c r="B160" s="146"/>
      <c r="C160" s="146"/>
      <c r="D160" s="27">
        <v>46102</v>
      </c>
      <c r="E160" s="28" t="s">
        <v>293</v>
      </c>
      <c r="F160" s="29">
        <v>0.29166666666666669</v>
      </c>
      <c r="G160" s="29">
        <v>0.54166666666666663</v>
      </c>
      <c r="H160" s="29">
        <v>0.58333333333333337</v>
      </c>
      <c r="I160" s="29">
        <v>0.76388888888888884</v>
      </c>
      <c r="J160" s="30">
        <f t="shared" si="39"/>
        <v>10.33333333333333</v>
      </c>
      <c r="K160" s="30">
        <f t="shared" si="40"/>
        <v>2.3333333333333304</v>
      </c>
      <c r="L160" s="31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3.25" x14ac:dyDescent="0.35">
      <c r="A161" s="149"/>
      <c r="B161" s="146"/>
      <c r="C161" s="146"/>
      <c r="D161" s="27">
        <v>46103</v>
      </c>
      <c r="E161" s="28" t="s">
        <v>294</v>
      </c>
      <c r="F161" s="29"/>
      <c r="G161" s="29"/>
      <c r="H161" s="29"/>
      <c r="I161" s="29"/>
      <c r="J161" s="30">
        <f t="shared" si="39"/>
        <v>0</v>
      </c>
      <c r="K161" s="28"/>
      <c r="L161" s="31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3.25" x14ac:dyDescent="0.35">
      <c r="A162" s="149"/>
      <c r="B162" s="146"/>
      <c r="C162" s="146"/>
      <c r="D162" s="27">
        <v>46104</v>
      </c>
      <c r="E162" s="28" t="s">
        <v>295</v>
      </c>
      <c r="F162" s="29">
        <v>0.30902777777777779</v>
      </c>
      <c r="G162" s="29">
        <v>0.54166666666666663</v>
      </c>
      <c r="H162" s="29">
        <v>0.58333333333333337</v>
      </c>
      <c r="I162" s="29">
        <v>0.75694444444444442</v>
      </c>
      <c r="J162" s="30">
        <f t="shared" si="39"/>
        <v>9.7499999999999964</v>
      </c>
      <c r="K162" s="30">
        <f t="shared" ref="K162:K164" si="41">J162-8</f>
        <v>1.7499999999999964</v>
      </c>
      <c r="L162" s="31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3.25" x14ac:dyDescent="0.35">
      <c r="A163" s="149"/>
      <c r="B163" s="146"/>
      <c r="C163" s="146"/>
      <c r="D163" s="27">
        <v>46105</v>
      </c>
      <c r="E163" s="28" t="s">
        <v>296</v>
      </c>
      <c r="F163" s="29">
        <v>0.29166666666666669</v>
      </c>
      <c r="G163" s="29">
        <v>0.54166666666666663</v>
      </c>
      <c r="H163" s="29">
        <v>0.58333333333333337</v>
      </c>
      <c r="I163" s="29">
        <v>0.79166666666666663</v>
      </c>
      <c r="J163" s="30">
        <f t="shared" si="39"/>
        <v>10.999999999999996</v>
      </c>
      <c r="K163" s="30">
        <f t="shared" si="41"/>
        <v>2.9999999999999964</v>
      </c>
      <c r="L163" s="31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3.25" x14ac:dyDescent="0.35">
      <c r="A164" s="149"/>
      <c r="B164" s="146"/>
      <c r="C164" s="146"/>
      <c r="D164" s="27">
        <v>46106</v>
      </c>
      <c r="E164" s="28" t="s">
        <v>297</v>
      </c>
      <c r="F164" s="29">
        <v>0.29166666666666669</v>
      </c>
      <c r="G164" s="29">
        <v>0.54166666666666663</v>
      </c>
      <c r="H164" s="29">
        <v>0.58333333333333337</v>
      </c>
      <c r="I164" s="29">
        <v>0.79166666666666663</v>
      </c>
      <c r="J164" s="30">
        <f t="shared" si="39"/>
        <v>10.999999999999996</v>
      </c>
      <c r="K164" s="32">
        <f t="shared" si="41"/>
        <v>2.9999999999999964</v>
      </c>
      <c r="L164" s="33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3.25" x14ac:dyDescent="0.35">
      <c r="A165" s="149"/>
      <c r="B165" s="146"/>
      <c r="C165" s="146"/>
      <c r="D165" s="27"/>
      <c r="E165" s="28"/>
      <c r="F165" s="28"/>
      <c r="G165" s="28"/>
      <c r="H165" s="26"/>
      <c r="I165" s="34" t="s">
        <v>298</v>
      </c>
      <c r="J165" s="35">
        <v>1000</v>
      </c>
      <c r="K165" s="34"/>
      <c r="L165" s="3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3.25" x14ac:dyDescent="0.35">
      <c r="A166" s="149"/>
      <c r="B166" s="146"/>
      <c r="C166" s="146"/>
      <c r="D166" s="27"/>
      <c r="E166" s="28"/>
      <c r="F166" s="28"/>
      <c r="G166" s="28"/>
      <c r="H166" s="37"/>
      <c r="I166" s="34" t="s">
        <v>299</v>
      </c>
      <c r="J166" s="35">
        <f>J165*(COUNTIF(J158:J164, "&gt;0.00"))</f>
        <v>6000</v>
      </c>
      <c r="K166" s="35">
        <f>(J165/8)*(SUM(K158:K164))</f>
        <v>1781.2499999999975</v>
      </c>
      <c r="L166" s="36">
        <f>SUM(L158:L164)</f>
        <v>0</v>
      </c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3.25" x14ac:dyDescent="0.35">
      <c r="A167" s="150"/>
      <c r="B167" s="147"/>
      <c r="C167" s="147"/>
      <c r="D167" s="38"/>
      <c r="E167" s="39"/>
      <c r="F167" s="39"/>
      <c r="G167" s="39"/>
      <c r="H167" s="40"/>
      <c r="I167" s="41" t="s">
        <v>300</v>
      </c>
      <c r="J167" s="42">
        <f>SUM(J166:K166)-L166</f>
        <v>7781.2499999999973</v>
      </c>
      <c r="K167" s="34"/>
      <c r="L167" s="3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3.25" x14ac:dyDescent="0.35">
      <c r="A168" s="43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44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46.5" x14ac:dyDescent="0.35">
      <c r="A169" s="22" t="s">
        <v>93</v>
      </c>
      <c r="B169" s="23" t="s">
        <v>94</v>
      </c>
      <c r="C169" s="23" t="s">
        <v>1</v>
      </c>
      <c r="D169" s="24" t="s">
        <v>284</v>
      </c>
      <c r="E169" s="24" t="s">
        <v>285</v>
      </c>
      <c r="F169" s="24" t="s">
        <v>286</v>
      </c>
      <c r="G169" s="24" t="s">
        <v>287</v>
      </c>
      <c r="H169" s="24" t="s">
        <v>286</v>
      </c>
      <c r="I169" s="24" t="s">
        <v>287</v>
      </c>
      <c r="J169" s="24" t="s">
        <v>288</v>
      </c>
      <c r="K169" s="24" t="s">
        <v>234</v>
      </c>
      <c r="L169" s="25" t="s">
        <v>302</v>
      </c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3.25" x14ac:dyDescent="0.35">
      <c r="A170" s="148" t="s">
        <v>202</v>
      </c>
      <c r="B170" s="145" t="s">
        <v>76</v>
      </c>
      <c r="C170" s="145" t="s">
        <v>77</v>
      </c>
      <c r="D170" s="27">
        <v>46100</v>
      </c>
      <c r="E170" s="28" t="s">
        <v>291</v>
      </c>
      <c r="F170" s="29">
        <v>0.29166666666666669</v>
      </c>
      <c r="G170" s="29">
        <v>0.54166666666666663</v>
      </c>
      <c r="H170" s="29">
        <v>0.58333333333333337</v>
      </c>
      <c r="I170" s="29">
        <v>0.75347222222222221</v>
      </c>
      <c r="J170" s="30">
        <f t="shared" ref="J170:J176" si="42">(((I170-H170)+(G170-F170))*24)</f>
        <v>10.08333333333333</v>
      </c>
      <c r="K170" s="30">
        <f>J170-8</f>
        <v>2.0833333333333304</v>
      </c>
      <c r="L170" s="31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3.25" x14ac:dyDescent="0.35">
      <c r="A171" s="149"/>
      <c r="B171" s="146"/>
      <c r="C171" s="146"/>
      <c r="D171" s="27">
        <v>46101</v>
      </c>
      <c r="E171" s="28" t="s">
        <v>292</v>
      </c>
      <c r="F171" s="29"/>
      <c r="G171" s="29"/>
      <c r="H171" s="29"/>
      <c r="I171" s="29"/>
      <c r="J171" s="30">
        <f t="shared" si="42"/>
        <v>0</v>
      </c>
      <c r="K171" s="28"/>
      <c r="L171" s="31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3.25" x14ac:dyDescent="0.35">
      <c r="A172" s="149"/>
      <c r="B172" s="146"/>
      <c r="C172" s="146"/>
      <c r="D172" s="27">
        <v>46102</v>
      </c>
      <c r="E172" s="28" t="s">
        <v>293</v>
      </c>
      <c r="F172" s="29">
        <v>0.29166666666666669</v>
      </c>
      <c r="G172" s="29">
        <v>0.54166666666666663</v>
      </c>
      <c r="H172" s="29">
        <v>0.58333333333333337</v>
      </c>
      <c r="I172" s="29">
        <v>0.76388888888888884</v>
      </c>
      <c r="J172" s="30">
        <f t="shared" si="42"/>
        <v>10.33333333333333</v>
      </c>
      <c r="K172" s="30">
        <f>J172-8</f>
        <v>2.3333333333333304</v>
      </c>
      <c r="L172" s="31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3.25" x14ac:dyDescent="0.35">
      <c r="A173" s="149"/>
      <c r="B173" s="146"/>
      <c r="C173" s="146"/>
      <c r="D173" s="27">
        <v>46103</v>
      </c>
      <c r="E173" s="28" t="s">
        <v>294</v>
      </c>
      <c r="F173" s="29"/>
      <c r="G173" s="29"/>
      <c r="H173" s="29"/>
      <c r="I173" s="29"/>
      <c r="J173" s="30">
        <f t="shared" si="42"/>
        <v>0</v>
      </c>
      <c r="K173" s="28"/>
      <c r="L173" s="31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3.25" x14ac:dyDescent="0.35">
      <c r="A174" s="149"/>
      <c r="B174" s="146"/>
      <c r="C174" s="146"/>
      <c r="D174" s="27">
        <v>46104</v>
      </c>
      <c r="E174" s="28" t="s">
        <v>295</v>
      </c>
      <c r="F174" s="29">
        <v>0.30902777777777779</v>
      </c>
      <c r="G174" s="29">
        <v>0.54166666666666663</v>
      </c>
      <c r="H174" s="29">
        <v>0.58333333333333337</v>
      </c>
      <c r="I174" s="29">
        <v>0.75694444444444442</v>
      </c>
      <c r="J174" s="30">
        <f t="shared" si="42"/>
        <v>9.7499999999999964</v>
      </c>
      <c r="K174" s="30">
        <f t="shared" ref="K174:K176" si="43">J174-8</f>
        <v>1.7499999999999964</v>
      </c>
      <c r="L174" s="31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3.25" x14ac:dyDescent="0.35">
      <c r="A175" s="149"/>
      <c r="B175" s="146"/>
      <c r="C175" s="146"/>
      <c r="D175" s="27">
        <v>46105</v>
      </c>
      <c r="E175" s="28" t="s">
        <v>296</v>
      </c>
      <c r="F175" s="29">
        <v>0.29166666666666669</v>
      </c>
      <c r="G175" s="29">
        <v>0.54166666666666663</v>
      </c>
      <c r="H175" s="29">
        <v>0.58333333333333337</v>
      </c>
      <c r="I175" s="29">
        <v>0.79166666666666663</v>
      </c>
      <c r="J175" s="30">
        <f t="shared" si="42"/>
        <v>10.999999999999996</v>
      </c>
      <c r="K175" s="30">
        <f t="shared" si="43"/>
        <v>2.9999999999999964</v>
      </c>
      <c r="L175" s="31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3.25" x14ac:dyDescent="0.35">
      <c r="A176" s="149"/>
      <c r="B176" s="146"/>
      <c r="C176" s="146"/>
      <c r="D176" s="27">
        <v>46106</v>
      </c>
      <c r="E176" s="28" t="s">
        <v>297</v>
      </c>
      <c r="F176" s="29">
        <v>0.29166666666666669</v>
      </c>
      <c r="G176" s="29">
        <v>0.54166666666666663</v>
      </c>
      <c r="H176" s="29">
        <v>0.58333333333333337</v>
      </c>
      <c r="I176" s="29">
        <v>0.79166666666666663</v>
      </c>
      <c r="J176" s="30">
        <f t="shared" si="42"/>
        <v>10.999999999999996</v>
      </c>
      <c r="K176" s="32">
        <f t="shared" si="43"/>
        <v>2.9999999999999964</v>
      </c>
      <c r="L176" s="33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3.25" x14ac:dyDescent="0.35">
      <c r="A177" s="149"/>
      <c r="B177" s="146"/>
      <c r="C177" s="146"/>
      <c r="D177" s="27"/>
      <c r="E177" s="28"/>
      <c r="F177" s="28"/>
      <c r="G177" s="28"/>
      <c r="H177" s="26"/>
      <c r="I177" s="34" t="s">
        <v>298</v>
      </c>
      <c r="J177" s="35">
        <v>1000</v>
      </c>
      <c r="K177" s="34"/>
      <c r="L177" s="3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3.25" x14ac:dyDescent="0.35">
      <c r="A178" s="149"/>
      <c r="B178" s="146"/>
      <c r="C178" s="146"/>
      <c r="D178" s="27"/>
      <c r="E178" s="28"/>
      <c r="F178" s="28"/>
      <c r="G178" s="28"/>
      <c r="H178" s="37"/>
      <c r="I178" s="34" t="s">
        <v>299</v>
      </c>
      <c r="J178" s="35">
        <f>J177*(COUNTIF(J170:J176, "&gt;0.00"))</f>
        <v>5000</v>
      </c>
      <c r="K178" s="35">
        <f>(J177/8)*(SUM(K170:K176))</f>
        <v>1520.8333333333312</v>
      </c>
      <c r="L178" s="36">
        <f>SUM(L170:L176)</f>
        <v>0</v>
      </c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3.25" x14ac:dyDescent="0.35">
      <c r="A179" s="150"/>
      <c r="B179" s="147"/>
      <c r="C179" s="147"/>
      <c r="D179" s="38"/>
      <c r="E179" s="39"/>
      <c r="F179" s="39"/>
      <c r="G179" s="39"/>
      <c r="H179" s="40"/>
      <c r="I179" s="41" t="s">
        <v>300</v>
      </c>
      <c r="J179" s="42">
        <f>SUM(J178:K178)-L178</f>
        <v>6520.8333333333312</v>
      </c>
      <c r="K179" s="34"/>
      <c r="L179" s="3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3.25" x14ac:dyDescent="0.35">
      <c r="A180" s="43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44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46.5" x14ac:dyDescent="0.35">
      <c r="A181" s="22" t="s">
        <v>93</v>
      </c>
      <c r="B181" s="23" t="s">
        <v>94</v>
      </c>
      <c r="C181" s="23" t="s">
        <v>1</v>
      </c>
      <c r="D181" s="24" t="s">
        <v>284</v>
      </c>
      <c r="E181" s="24" t="s">
        <v>285</v>
      </c>
      <c r="F181" s="24" t="s">
        <v>286</v>
      </c>
      <c r="G181" s="24" t="s">
        <v>287</v>
      </c>
      <c r="H181" s="24" t="s">
        <v>286</v>
      </c>
      <c r="I181" s="24" t="s">
        <v>287</v>
      </c>
      <c r="J181" s="24" t="s">
        <v>288</v>
      </c>
      <c r="K181" s="24" t="s">
        <v>234</v>
      </c>
      <c r="L181" s="70" t="s">
        <v>302</v>
      </c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3.25" x14ac:dyDescent="0.35">
      <c r="A182" s="148" t="s">
        <v>204</v>
      </c>
      <c r="B182" s="145" t="s">
        <v>79</v>
      </c>
      <c r="C182" s="145" t="s">
        <v>301</v>
      </c>
      <c r="D182" s="27">
        <v>46100</v>
      </c>
      <c r="E182" s="28" t="s">
        <v>291</v>
      </c>
      <c r="F182" s="29">
        <v>0.29166666666666669</v>
      </c>
      <c r="G182" s="29">
        <v>0.54166666666666663</v>
      </c>
      <c r="H182" s="29">
        <v>0.58333333333333337</v>
      </c>
      <c r="I182" s="29">
        <v>0.75347222222222221</v>
      </c>
      <c r="J182" s="30">
        <f t="shared" ref="J182:J188" si="44">(((I182-H182)+(G182-F182))*24)</f>
        <v>10.08333333333333</v>
      </c>
      <c r="K182" s="30">
        <f t="shared" ref="K182:K184" si="45">J182-8</f>
        <v>2.0833333333333304</v>
      </c>
      <c r="L182" s="71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3.25" x14ac:dyDescent="0.35">
      <c r="A183" s="149"/>
      <c r="B183" s="146"/>
      <c r="C183" s="146"/>
      <c r="D183" s="27">
        <v>46101</v>
      </c>
      <c r="E183" s="28" t="s">
        <v>292</v>
      </c>
      <c r="F183" s="29">
        <v>0.29166666666666669</v>
      </c>
      <c r="G183" s="29">
        <v>0.54166666666666663</v>
      </c>
      <c r="H183" s="29">
        <v>0.58333333333333337</v>
      </c>
      <c r="I183" s="29">
        <v>0.75347222222222221</v>
      </c>
      <c r="J183" s="30">
        <f t="shared" si="44"/>
        <v>10.08333333333333</v>
      </c>
      <c r="K183" s="30">
        <f t="shared" si="45"/>
        <v>2.0833333333333304</v>
      </c>
      <c r="L183" s="71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3.25" x14ac:dyDescent="0.35">
      <c r="A184" s="149"/>
      <c r="B184" s="146"/>
      <c r="C184" s="146"/>
      <c r="D184" s="27">
        <v>46102</v>
      </c>
      <c r="E184" s="28" t="s">
        <v>293</v>
      </c>
      <c r="F184" s="29">
        <v>0.29166666666666669</v>
      </c>
      <c r="G184" s="29">
        <v>0.54166666666666663</v>
      </c>
      <c r="H184" s="29">
        <v>0.58333333333333337</v>
      </c>
      <c r="I184" s="29">
        <v>0.76388888888888884</v>
      </c>
      <c r="J184" s="30">
        <f t="shared" si="44"/>
        <v>10.33333333333333</v>
      </c>
      <c r="K184" s="30">
        <f t="shared" si="45"/>
        <v>2.3333333333333304</v>
      </c>
      <c r="L184" s="71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3.25" x14ac:dyDescent="0.35">
      <c r="A185" s="149"/>
      <c r="B185" s="146"/>
      <c r="C185" s="146"/>
      <c r="D185" s="27">
        <v>46103</v>
      </c>
      <c r="E185" s="28" t="s">
        <v>294</v>
      </c>
      <c r="F185" s="29"/>
      <c r="G185" s="29"/>
      <c r="H185" s="29"/>
      <c r="I185" s="29"/>
      <c r="J185" s="30">
        <f t="shared" si="44"/>
        <v>0</v>
      </c>
      <c r="K185" s="28"/>
      <c r="L185" s="71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3.25" x14ac:dyDescent="0.35">
      <c r="A186" s="149"/>
      <c r="B186" s="146"/>
      <c r="C186" s="146"/>
      <c r="D186" s="27">
        <v>46104</v>
      </c>
      <c r="E186" s="28" t="s">
        <v>295</v>
      </c>
      <c r="F186" s="29"/>
      <c r="G186" s="29"/>
      <c r="H186" s="29"/>
      <c r="I186" s="29"/>
      <c r="J186" s="30">
        <f t="shared" si="44"/>
        <v>0</v>
      </c>
      <c r="K186" s="28"/>
      <c r="L186" s="71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3.25" x14ac:dyDescent="0.35">
      <c r="A187" s="149"/>
      <c r="B187" s="146"/>
      <c r="C187" s="146"/>
      <c r="D187" s="27">
        <v>46105</v>
      </c>
      <c r="E187" s="28" t="s">
        <v>296</v>
      </c>
      <c r="F187" s="29">
        <v>0.29166666666666669</v>
      </c>
      <c r="G187" s="29">
        <v>0.54166666666666663</v>
      </c>
      <c r="H187" s="29">
        <v>0.58333333333333337</v>
      </c>
      <c r="I187" s="29">
        <v>0.79166666666666663</v>
      </c>
      <c r="J187" s="30">
        <f t="shared" si="44"/>
        <v>10.999999999999996</v>
      </c>
      <c r="K187" s="30">
        <f t="shared" ref="K187:K188" si="46">J187-8</f>
        <v>2.9999999999999964</v>
      </c>
      <c r="L187" s="71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3.25" x14ac:dyDescent="0.35">
      <c r="A188" s="149"/>
      <c r="B188" s="146"/>
      <c r="C188" s="146"/>
      <c r="D188" s="27">
        <v>46106</v>
      </c>
      <c r="E188" s="28" t="s">
        <v>297</v>
      </c>
      <c r="F188" s="29">
        <v>0.29166666666666669</v>
      </c>
      <c r="G188" s="29">
        <v>0.54166666666666663</v>
      </c>
      <c r="H188" s="29">
        <v>0.58333333333333337</v>
      </c>
      <c r="I188" s="29">
        <v>0.79166666666666663</v>
      </c>
      <c r="J188" s="30">
        <f t="shared" si="44"/>
        <v>10.999999999999996</v>
      </c>
      <c r="K188" s="32">
        <f t="shared" si="46"/>
        <v>2.9999999999999964</v>
      </c>
      <c r="L188" s="72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3.25" x14ac:dyDescent="0.35">
      <c r="A189" s="149"/>
      <c r="B189" s="146"/>
      <c r="C189" s="146"/>
      <c r="D189" s="27"/>
      <c r="E189" s="28"/>
      <c r="F189" s="28"/>
      <c r="G189" s="28"/>
      <c r="H189" s="26"/>
      <c r="I189" s="34" t="s">
        <v>298</v>
      </c>
      <c r="J189" s="35">
        <v>800</v>
      </c>
      <c r="K189" s="34"/>
      <c r="L189" s="73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3.25" x14ac:dyDescent="0.35">
      <c r="A190" s="149"/>
      <c r="B190" s="146"/>
      <c r="C190" s="146"/>
      <c r="D190" s="27"/>
      <c r="E190" s="28"/>
      <c r="F190" s="28"/>
      <c r="G190" s="28"/>
      <c r="H190" s="37"/>
      <c r="I190" s="34" t="s">
        <v>299</v>
      </c>
      <c r="J190" s="35">
        <f>J189*6</f>
        <v>4800</v>
      </c>
      <c r="K190" s="35">
        <f>(J189/8)*(SUM(K182:K188))</f>
        <v>1249.9999999999984</v>
      </c>
      <c r="L190" s="73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3.25" x14ac:dyDescent="0.35">
      <c r="A191" s="150"/>
      <c r="B191" s="147"/>
      <c r="C191" s="147"/>
      <c r="D191" s="38"/>
      <c r="E191" s="39"/>
      <c r="F191" s="39"/>
      <c r="G191" s="39"/>
      <c r="H191" s="40"/>
      <c r="I191" s="41" t="s">
        <v>300</v>
      </c>
      <c r="J191" s="42">
        <f>SUM(J190:K190)</f>
        <v>6049.9999999999982</v>
      </c>
      <c r="K191" s="34"/>
      <c r="L191" s="73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3.25" x14ac:dyDescent="0.35">
      <c r="A192" s="66"/>
      <c r="B192" s="67"/>
      <c r="C192" s="67"/>
      <c r="D192" s="68"/>
      <c r="E192" s="68"/>
      <c r="F192" s="68"/>
      <c r="G192" s="68"/>
      <c r="H192" s="68"/>
      <c r="I192" s="68"/>
      <c r="J192" s="68"/>
      <c r="K192" s="68"/>
      <c r="L192" s="69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46.5" x14ac:dyDescent="0.35">
      <c r="A193" s="22" t="s">
        <v>93</v>
      </c>
      <c r="B193" s="23" t="s">
        <v>94</v>
      </c>
      <c r="C193" s="23" t="s">
        <v>1</v>
      </c>
      <c r="D193" s="24" t="s">
        <v>284</v>
      </c>
      <c r="E193" s="24" t="s">
        <v>285</v>
      </c>
      <c r="F193" s="24" t="s">
        <v>286</v>
      </c>
      <c r="G193" s="24" t="s">
        <v>287</v>
      </c>
      <c r="H193" s="24" t="s">
        <v>286</v>
      </c>
      <c r="I193" s="24" t="s">
        <v>287</v>
      </c>
      <c r="J193" s="24" t="s">
        <v>288</v>
      </c>
      <c r="K193" s="24" t="s">
        <v>234</v>
      </c>
      <c r="L193" s="25" t="s">
        <v>302</v>
      </c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3.25" x14ac:dyDescent="0.35">
      <c r="A194" s="148" t="s">
        <v>206</v>
      </c>
      <c r="B194" s="145" t="s">
        <v>81</v>
      </c>
      <c r="C194" s="145" t="s">
        <v>16</v>
      </c>
      <c r="D194" s="27">
        <v>46100</v>
      </c>
      <c r="E194" s="28" t="s">
        <v>291</v>
      </c>
      <c r="F194" s="29">
        <v>0.29166666666666669</v>
      </c>
      <c r="G194" s="29">
        <v>0.54166666666666663</v>
      </c>
      <c r="H194" s="29">
        <v>0.58333333333333337</v>
      </c>
      <c r="I194" s="29">
        <v>0.75347222222222221</v>
      </c>
      <c r="J194" s="30">
        <f t="shared" ref="J194:J200" si="47">(((I194-H194)+(G194-F194))*24)</f>
        <v>10.08333333333333</v>
      </c>
      <c r="K194" s="30">
        <f t="shared" ref="K194:K196" si="48">J194-8</f>
        <v>2.0833333333333304</v>
      </c>
      <c r="L194" s="31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3.25" x14ac:dyDescent="0.35">
      <c r="A195" s="149"/>
      <c r="B195" s="146"/>
      <c r="C195" s="146"/>
      <c r="D195" s="27">
        <v>46101</v>
      </c>
      <c r="E195" s="28" t="s">
        <v>292</v>
      </c>
      <c r="F195" s="29">
        <v>0.29166666666666669</v>
      </c>
      <c r="G195" s="29">
        <v>0.54166666666666663</v>
      </c>
      <c r="H195" s="29">
        <v>0.58333333333333337</v>
      </c>
      <c r="I195" s="29">
        <v>0.75347222222222221</v>
      </c>
      <c r="J195" s="30">
        <f t="shared" si="47"/>
        <v>10.08333333333333</v>
      </c>
      <c r="K195" s="30">
        <f t="shared" si="48"/>
        <v>2.0833333333333304</v>
      </c>
      <c r="L195" s="31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3.25" x14ac:dyDescent="0.35">
      <c r="A196" s="149"/>
      <c r="B196" s="146"/>
      <c r="C196" s="146"/>
      <c r="D196" s="27">
        <v>46102</v>
      </c>
      <c r="E196" s="28" t="s">
        <v>293</v>
      </c>
      <c r="F196" s="29">
        <v>0.29166666666666669</v>
      </c>
      <c r="G196" s="29">
        <v>0.54166666666666663</v>
      </c>
      <c r="H196" s="29">
        <v>0.58333333333333337</v>
      </c>
      <c r="I196" s="29">
        <v>0.77777777777777779</v>
      </c>
      <c r="J196" s="30">
        <f t="shared" si="47"/>
        <v>10.666666666666664</v>
      </c>
      <c r="K196" s="30">
        <f t="shared" si="48"/>
        <v>2.6666666666666643</v>
      </c>
      <c r="L196" s="31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3.25" x14ac:dyDescent="0.35">
      <c r="A197" s="149"/>
      <c r="B197" s="146"/>
      <c r="C197" s="146"/>
      <c r="D197" s="27">
        <v>46103</v>
      </c>
      <c r="E197" s="28" t="s">
        <v>294</v>
      </c>
      <c r="F197" s="29"/>
      <c r="G197" s="29"/>
      <c r="H197" s="29"/>
      <c r="I197" s="29"/>
      <c r="J197" s="30">
        <f t="shared" si="47"/>
        <v>0</v>
      </c>
      <c r="K197" s="28"/>
      <c r="L197" s="31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3.25" x14ac:dyDescent="0.35">
      <c r="A198" s="149"/>
      <c r="B198" s="146"/>
      <c r="C198" s="146"/>
      <c r="D198" s="27">
        <v>46104</v>
      </c>
      <c r="E198" s="28" t="s">
        <v>295</v>
      </c>
      <c r="F198" s="29">
        <v>0.30902777777777779</v>
      </c>
      <c r="G198" s="29">
        <v>0.54166666666666663</v>
      </c>
      <c r="H198" s="29">
        <v>0.58333333333333337</v>
      </c>
      <c r="I198" s="29">
        <v>0.75694444444444442</v>
      </c>
      <c r="J198" s="30">
        <f t="shared" si="47"/>
        <v>9.7499999999999964</v>
      </c>
      <c r="K198" s="30">
        <f t="shared" ref="K198:K200" si="49">J198-8</f>
        <v>1.7499999999999964</v>
      </c>
      <c r="L198" s="31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3.25" x14ac:dyDescent="0.35">
      <c r="A199" s="149"/>
      <c r="B199" s="146"/>
      <c r="C199" s="146"/>
      <c r="D199" s="27">
        <v>46105</v>
      </c>
      <c r="E199" s="28" t="s">
        <v>296</v>
      </c>
      <c r="F199" s="29">
        <v>0.29166666666666669</v>
      </c>
      <c r="G199" s="29">
        <v>0.54166666666666663</v>
      </c>
      <c r="H199" s="29">
        <v>0.58333333333333337</v>
      </c>
      <c r="I199" s="29">
        <v>0.79166666666666663</v>
      </c>
      <c r="J199" s="30">
        <f t="shared" si="47"/>
        <v>10.999999999999996</v>
      </c>
      <c r="K199" s="30">
        <f t="shared" si="49"/>
        <v>2.9999999999999964</v>
      </c>
      <c r="L199" s="31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3.25" x14ac:dyDescent="0.35">
      <c r="A200" s="149"/>
      <c r="B200" s="146"/>
      <c r="C200" s="146"/>
      <c r="D200" s="27">
        <v>46106</v>
      </c>
      <c r="E200" s="28" t="s">
        <v>297</v>
      </c>
      <c r="F200" s="29">
        <v>0.29166666666666669</v>
      </c>
      <c r="G200" s="29">
        <v>0.54166666666666663</v>
      </c>
      <c r="H200" s="29">
        <v>0.58333333333333337</v>
      </c>
      <c r="I200" s="29">
        <v>0.79166666666666663</v>
      </c>
      <c r="J200" s="30">
        <f t="shared" si="47"/>
        <v>10.999999999999996</v>
      </c>
      <c r="K200" s="32">
        <f t="shared" si="49"/>
        <v>2.9999999999999964</v>
      </c>
      <c r="L200" s="33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3.25" x14ac:dyDescent="0.35">
      <c r="A201" s="149"/>
      <c r="B201" s="146"/>
      <c r="C201" s="146"/>
      <c r="D201" s="27"/>
      <c r="E201" s="28"/>
      <c r="F201" s="28"/>
      <c r="G201" s="28"/>
      <c r="H201" s="26"/>
      <c r="I201" s="34" t="s">
        <v>298</v>
      </c>
      <c r="J201" s="35">
        <v>1000</v>
      </c>
      <c r="K201" s="34"/>
      <c r="L201" s="3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3.25" x14ac:dyDescent="0.35">
      <c r="A202" s="149"/>
      <c r="B202" s="146"/>
      <c r="C202" s="146"/>
      <c r="D202" s="27"/>
      <c r="E202" s="28"/>
      <c r="F202" s="28"/>
      <c r="G202" s="28"/>
      <c r="H202" s="37"/>
      <c r="I202" s="34" t="s">
        <v>299</v>
      </c>
      <c r="J202" s="35">
        <f>J201*(COUNTIF(J194:J200, "&gt;0.00"))</f>
        <v>6000</v>
      </c>
      <c r="K202" s="35">
        <f>(J201/8)*(SUM(K194:K200))</f>
        <v>1822.9166666666642</v>
      </c>
      <c r="L202" s="36">
        <f>SUM(L194:L200)</f>
        <v>0</v>
      </c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3.25" x14ac:dyDescent="0.35">
      <c r="A203" s="150"/>
      <c r="B203" s="147"/>
      <c r="C203" s="147"/>
      <c r="D203" s="38"/>
      <c r="E203" s="39"/>
      <c r="F203" s="39"/>
      <c r="G203" s="39"/>
      <c r="H203" s="40"/>
      <c r="I203" s="41" t="s">
        <v>300</v>
      </c>
      <c r="J203" s="42">
        <f>SUM(J202:K202)-L202</f>
        <v>7822.9166666666642</v>
      </c>
      <c r="K203" s="34"/>
      <c r="L203" s="3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3.25" x14ac:dyDescent="0.35">
      <c r="A204" s="43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44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46.5" x14ac:dyDescent="0.35">
      <c r="A205" s="22" t="s">
        <v>93</v>
      </c>
      <c r="B205" s="23" t="s">
        <v>94</v>
      </c>
      <c r="C205" s="23" t="s">
        <v>1</v>
      </c>
      <c r="D205" s="24" t="s">
        <v>284</v>
      </c>
      <c r="E205" s="24" t="s">
        <v>285</v>
      </c>
      <c r="F205" s="24" t="s">
        <v>286</v>
      </c>
      <c r="G205" s="24" t="s">
        <v>287</v>
      </c>
      <c r="H205" s="24" t="s">
        <v>286</v>
      </c>
      <c r="I205" s="24" t="s">
        <v>287</v>
      </c>
      <c r="J205" s="24" t="s">
        <v>288</v>
      </c>
      <c r="K205" s="24" t="s">
        <v>234</v>
      </c>
      <c r="L205" s="25" t="s">
        <v>302</v>
      </c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3.25" x14ac:dyDescent="0.35">
      <c r="A206" s="148" t="s">
        <v>80</v>
      </c>
      <c r="B206" s="145" t="s">
        <v>84</v>
      </c>
      <c r="C206" s="145" t="s">
        <v>301</v>
      </c>
      <c r="D206" s="27">
        <v>46100</v>
      </c>
      <c r="E206" s="28" t="s">
        <v>291</v>
      </c>
      <c r="F206" s="29">
        <v>0.29166666666666669</v>
      </c>
      <c r="G206" s="29">
        <v>0.54166666666666663</v>
      </c>
      <c r="H206" s="29">
        <v>0.58333333333333337</v>
      </c>
      <c r="I206" s="29">
        <v>0.75347222222222221</v>
      </c>
      <c r="J206" s="30">
        <f t="shared" ref="J206:J212" si="50">(((I206-H206)+(G206-F206))*24)</f>
        <v>10.08333333333333</v>
      </c>
      <c r="K206" s="30">
        <f t="shared" ref="K206:K208" si="51">J206-8</f>
        <v>2.0833333333333304</v>
      </c>
      <c r="L206" s="31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3.25" x14ac:dyDescent="0.35">
      <c r="A207" s="149"/>
      <c r="B207" s="146"/>
      <c r="C207" s="146"/>
      <c r="D207" s="27">
        <v>46101</v>
      </c>
      <c r="E207" s="28" t="s">
        <v>292</v>
      </c>
      <c r="F207" s="29">
        <v>0.29166666666666669</v>
      </c>
      <c r="G207" s="29">
        <v>0.54166666666666663</v>
      </c>
      <c r="H207" s="29">
        <v>0.58333333333333337</v>
      </c>
      <c r="I207" s="29">
        <v>0.75347222222222221</v>
      </c>
      <c r="J207" s="30">
        <f t="shared" si="50"/>
        <v>10.08333333333333</v>
      </c>
      <c r="K207" s="30">
        <f t="shared" si="51"/>
        <v>2.0833333333333304</v>
      </c>
      <c r="L207" s="31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3.25" x14ac:dyDescent="0.35">
      <c r="A208" s="149"/>
      <c r="B208" s="146"/>
      <c r="C208" s="146"/>
      <c r="D208" s="27">
        <v>46102</v>
      </c>
      <c r="E208" s="28" t="s">
        <v>293</v>
      </c>
      <c r="F208" s="29">
        <v>0.29166666666666669</v>
      </c>
      <c r="G208" s="29">
        <v>0.54166666666666663</v>
      </c>
      <c r="H208" s="29">
        <v>0.58333333333333337</v>
      </c>
      <c r="I208" s="29">
        <v>0.77777777777777779</v>
      </c>
      <c r="J208" s="30">
        <f t="shared" si="50"/>
        <v>10.666666666666664</v>
      </c>
      <c r="K208" s="30">
        <f t="shared" si="51"/>
        <v>2.6666666666666643</v>
      </c>
      <c r="L208" s="31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3.25" x14ac:dyDescent="0.35">
      <c r="A209" s="149"/>
      <c r="B209" s="146"/>
      <c r="C209" s="146"/>
      <c r="D209" s="27">
        <v>46103</v>
      </c>
      <c r="E209" s="28" t="s">
        <v>294</v>
      </c>
      <c r="F209" s="29"/>
      <c r="G209" s="29"/>
      <c r="H209" s="29"/>
      <c r="I209" s="29"/>
      <c r="J209" s="30">
        <f t="shared" si="50"/>
        <v>0</v>
      </c>
      <c r="K209" s="28"/>
      <c r="L209" s="31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3.25" x14ac:dyDescent="0.35">
      <c r="A210" s="149"/>
      <c r="B210" s="146"/>
      <c r="C210" s="146"/>
      <c r="D210" s="27">
        <v>46104</v>
      </c>
      <c r="E210" s="28" t="s">
        <v>295</v>
      </c>
      <c r="F210" s="29">
        <v>0.2986111111111111</v>
      </c>
      <c r="G210" s="29">
        <v>0.54166666666666663</v>
      </c>
      <c r="H210" s="29">
        <v>0.58333333333333337</v>
      </c>
      <c r="I210" s="29">
        <v>0.75694444444444442</v>
      </c>
      <c r="J210" s="30">
        <f t="shared" si="50"/>
        <v>9.9999999999999982</v>
      </c>
      <c r="K210" s="30">
        <f t="shared" ref="K210:K212" si="52">J210-8</f>
        <v>1.9999999999999982</v>
      </c>
      <c r="L210" s="31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3.25" x14ac:dyDescent="0.35">
      <c r="A211" s="149"/>
      <c r="B211" s="146"/>
      <c r="C211" s="146"/>
      <c r="D211" s="27">
        <v>46105</v>
      </c>
      <c r="E211" s="28" t="s">
        <v>296</v>
      </c>
      <c r="F211" s="29">
        <v>0.29166666666666669</v>
      </c>
      <c r="G211" s="29">
        <v>0.54166666666666663</v>
      </c>
      <c r="H211" s="29">
        <v>0.58333333333333337</v>
      </c>
      <c r="I211" s="29">
        <v>0.79166666666666663</v>
      </c>
      <c r="J211" s="30">
        <f t="shared" si="50"/>
        <v>10.999999999999996</v>
      </c>
      <c r="K211" s="30">
        <f t="shared" si="52"/>
        <v>2.9999999999999964</v>
      </c>
      <c r="L211" s="31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3.25" x14ac:dyDescent="0.35">
      <c r="A212" s="149"/>
      <c r="B212" s="146"/>
      <c r="C212" s="146"/>
      <c r="D212" s="27">
        <v>46106</v>
      </c>
      <c r="E212" s="28" t="s">
        <v>297</v>
      </c>
      <c r="F212" s="29">
        <v>0.29166666666666669</v>
      </c>
      <c r="G212" s="29">
        <v>0.54166666666666663</v>
      </c>
      <c r="H212" s="29">
        <v>0.58333333333333337</v>
      </c>
      <c r="I212" s="29">
        <v>0.79166666666666663</v>
      </c>
      <c r="J212" s="30">
        <f t="shared" si="50"/>
        <v>10.999999999999996</v>
      </c>
      <c r="K212" s="32">
        <f t="shared" si="52"/>
        <v>2.9999999999999964</v>
      </c>
      <c r="L212" s="33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3.25" x14ac:dyDescent="0.35">
      <c r="A213" s="149"/>
      <c r="B213" s="146"/>
      <c r="C213" s="146"/>
      <c r="D213" s="27"/>
      <c r="E213" s="28"/>
      <c r="F213" s="28"/>
      <c r="G213" s="28"/>
      <c r="H213" s="26"/>
      <c r="I213" s="34" t="s">
        <v>298</v>
      </c>
      <c r="J213" s="35">
        <v>800</v>
      </c>
      <c r="K213" s="34"/>
      <c r="L213" s="3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3.25" x14ac:dyDescent="0.35">
      <c r="A214" s="149"/>
      <c r="B214" s="146"/>
      <c r="C214" s="146"/>
      <c r="D214" s="27"/>
      <c r="E214" s="28"/>
      <c r="F214" s="28"/>
      <c r="G214" s="28"/>
      <c r="H214" s="37"/>
      <c r="I214" s="34" t="s">
        <v>299</v>
      </c>
      <c r="J214" s="35">
        <f>J213*(COUNTIF(J206:J212, "&gt;0.00"))</f>
        <v>4800</v>
      </c>
      <c r="K214" s="35">
        <f>(J213/8)*(SUM(K206:K212))</f>
        <v>1483.3333333333317</v>
      </c>
      <c r="L214" s="36">
        <f>SUM(L206:L212)</f>
        <v>0</v>
      </c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3.25" x14ac:dyDescent="0.35">
      <c r="A215" s="150"/>
      <c r="B215" s="147"/>
      <c r="C215" s="147"/>
      <c r="D215" s="38"/>
      <c r="E215" s="39"/>
      <c r="F215" s="39"/>
      <c r="G215" s="39"/>
      <c r="H215" s="40"/>
      <c r="I215" s="41" t="s">
        <v>300</v>
      </c>
      <c r="J215" s="42">
        <f>SUM(J214:K214)-L214</f>
        <v>6283.3333333333321</v>
      </c>
      <c r="K215" s="34"/>
      <c r="L215" s="3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3.25" x14ac:dyDescent="0.35">
      <c r="A216" s="43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44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46.5" x14ac:dyDescent="0.35">
      <c r="A217" s="22" t="s">
        <v>93</v>
      </c>
      <c r="B217" s="23" t="s">
        <v>94</v>
      </c>
      <c r="C217" s="23" t="s">
        <v>1</v>
      </c>
      <c r="D217" s="24" t="s">
        <v>284</v>
      </c>
      <c r="E217" s="24" t="s">
        <v>285</v>
      </c>
      <c r="F217" s="24" t="s">
        <v>286</v>
      </c>
      <c r="G217" s="24" t="s">
        <v>287</v>
      </c>
      <c r="H217" s="24" t="s">
        <v>286</v>
      </c>
      <c r="I217" s="24" t="s">
        <v>287</v>
      </c>
      <c r="J217" s="24" t="s">
        <v>288</v>
      </c>
      <c r="K217" s="24" t="s">
        <v>234</v>
      </c>
      <c r="L217" s="25" t="s">
        <v>302</v>
      </c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3.25" x14ac:dyDescent="0.35">
      <c r="A218" s="148" t="s">
        <v>83</v>
      </c>
      <c r="B218" s="145" t="s">
        <v>88</v>
      </c>
      <c r="C218" s="145" t="s">
        <v>301</v>
      </c>
      <c r="D218" s="27">
        <v>46100</v>
      </c>
      <c r="E218" s="28" t="s">
        <v>291</v>
      </c>
      <c r="F218" s="29">
        <v>0.29166666666666669</v>
      </c>
      <c r="G218" s="29">
        <v>0.54166666666666663</v>
      </c>
      <c r="H218" s="29">
        <v>0.58333333333333337</v>
      </c>
      <c r="I218" s="29">
        <v>0.75347222222222221</v>
      </c>
      <c r="J218" s="30">
        <f t="shared" ref="J218:J224" si="53">(((I218-H218)+(G218-F218))*24)</f>
        <v>10.08333333333333</v>
      </c>
      <c r="K218" s="30">
        <f t="shared" ref="K218:K220" si="54">J218-8</f>
        <v>2.0833333333333304</v>
      </c>
      <c r="L218" s="31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3.25" x14ac:dyDescent="0.35">
      <c r="A219" s="149"/>
      <c r="B219" s="146"/>
      <c r="C219" s="146"/>
      <c r="D219" s="27">
        <v>46101</v>
      </c>
      <c r="E219" s="28" t="s">
        <v>292</v>
      </c>
      <c r="F219" s="29">
        <v>0.29166666666666669</v>
      </c>
      <c r="G219" s="29">
        <v>0.54166666666666663</v>
      </c>
      <c r="H219" s="29">
        <v>0.58333333333333337</v>
      </c>
      <c r="I219" s="29">
        <v>0.75347222222222221</v>
      </c>
      <c r="J219" s="30">
        <f t="shared" si="53"/>
        <v>10.08333333333333</v>
      </c>
      <c r="K219" s="30">
        <f t="shared" si="54"/>
        <v>2.0833333333333304</v>
      </c>
      <c r="L219" s="31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3.25" x14ac:dyDescent="0.35">
      <c r="A220" s="149"/>
      <c r="B220" s="146"/>
      <c r="C220" s="146"/>
      <c r="D220" s="27">
        <v>46102</v>
      </c>
      <c r="E220" s="28" t="s">
        <v>293</v>
      </c>
      <c r="F220" s="29">
        <v>0.29166666666666669</v>
      </c>
      <c r="G220" s="29">
        <v>0.54166666666666663</v>
      </c>
      <c r="H220" s="29">
        <v>0.58333333333333337</v>
      </c>
      <c r="I220" s="29">
        <v>0.77777777777777779</v>
      </c>
      <c r="J220" s="30">
        <f t="shared" si="53"/>
        <v>10.666666666666664</v>
      </c>
      <c r="K220" s="30">
        <f t="shared" si="54"/>
        <v>2.6666666666666643</v>
      </c>
      <c r="L220" s="31" t="s">
        <v>303</v>
      </c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3.25" x14ac:dyDescent="0.35">
      <c r="A221" s="149"/>
      <c r="B221" s="146"/>
      <c r="C221" s="146"/>
      <c r="D221" s="27">
        <v>46103</v>
      </c>
      <c r="E221" s="28" t="s">
        <v>294</v>
      </c>
      <c r="F221" s="29"/>
      <c r="G221" s="29"/>
      <c r="H221" s="29"/>
      <c r="I221" s="29"/>
      <c r="J221" s="30">
        <f t="shared" si="53"/>
        <v>0</v>
      </c>
      <c r="K221" s="28"/>
      <c r="L221" s="31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3.25" x14ac:dyDescent="0.35">
      <c r="A222" s="149"/>
      <c r="B222" s="146"/>
      <c r="C222" s="146"/>
      <c r="D222" s="27">
        <v>46104</v>
      </c>
      <c r="E222" s="28" t="s">
        <v>295</v>
      </c>
      <c r="F222" s="29"/>
      <c r="G222" s="29"/>
      <c r="H222" s="29"/>
      <c r="I222" s="29"/>
      <c r="J222" s="30">
        <f t="shared" si="53"/>
        <v>0</v>
      </c>
      <c r="K222" s="28"/>
      <c r="L222" s="31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3.25" x14ac:dyDescent="0.35">
      <c r="A223" s="149"/>
      <c r="B223" s="146"/>
      <c r="C223" s="146"/>
      <c r="D223" s="27">
        <v>46105</v>
      </c>
      <c r="E223" s="28" t="s">
        <v>296</v>
      </c>
      <c r="F223" s="29">
        <v>0.33333333333333331</v>
      </c>
      <c r="G223" s="29">
        <v>0.54166666666666663</v>
      </c>
      <c r="H223" s="29">
        <v>0.58333333333333337</v>
      </c>
      <c r="I223" s="29">
        <v>0.79166666666666663</v>
      </c>
      <c r="J223" s="30">
        <f t="shared" si="53"/>
        <v>9.9999999999999982</v>
      </c>
      <c r="K223" s="32">
        <f t="shared" ref="K223:K224" si="55">J223-8</f>
        <v>1.9999999999999982</v>
      </c>
      <c r="L223" s="31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3.25" x14ac:dyDescent="0.35">
      <c r="A224" s="149"/>
      <c r="B224" s="146"/>
      <c r="C224" s="146"/>
      <c r="D224" s="27">
        <v>46106</v>
      </c>
      <c r="E224" s="28" t="s">
        <v>297</v>
      </c>
      <c r="F224" s="29">
        <v>0.30555555555555558</v>
      </c>
      <c r="G224" s="29">
        <v>0.54166666666666663</v>
      </c>
      <c r="H224" s="29">
        <v>0.58333333333333337</v>
      </c>
      <c r="I224" s="29">
        <v>0.79166666666666663</v>
      </c>
      <c r="J224" s="30">
        <f t="shared" si="53"/>
        <v>10.666666666666664</v>
      </c>
      <c r="K224" s="32">
        <f t="shared" si="55"/>
        <v>2.6666666666666643</v>
      </c>
      <c r="L224" s="33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3.25" x14ac:dyDescent="0.35">
      <c r="A225" s="149"/>
      <c r="B225" s="146"/>
      <c r="C225" s="146"/>
      <c r="D225" s="27"/>
      <c r="E225" s="28"/>
      <c r="F225" s="28"/>
      <c r="G225" s="28"/>
      <c r="H225" s="26"/>
      <c r="I225" s="34" t="s">
        <v>298</v>
      </c>
      <c r="J225" s="35">
        <v>800</v>
      </c>
      <c r="K225" s="34"/>
      <c r="L225" s="3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3.25" x14ac:dyDescent="0.35">
      <c r="A226" s="149"/>
      <c r="B226" s="146"/>
      <c r="C226" s="146"/>
      <c r="D226" s="27"/>
      <c r="E226" s="28"/>
      <c r="F226" s="28"/>
      <c r="G226" s="28"/>
      <c r="H226" s="37"/>
      <c r="I226" s="34" t="s">
        <v>299</v>
      </c>
      <c r="J226" s="35">
        <f>J225*(COUNTIF(J218:J224, "&gt;0.00"))</f>
        <v>4000</v>
      </c>
      <c r="K226" s="35">
        <f>(J225/8)*(SUM(K218:K224))</f>
        <v>1149.9999999999989</v>
      </c>
      <c r="L226" s="36">
        <f>SUM(L218:L224)</f>
        <v>0</v>
      </c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3.25" x14ac:dyDescent="0.35">
      <c r="A227" s="150"/>
      <c r="B227" s="147"/>
      <c r="C227" s="147"/>
      <c r="D227" s="38"/>
      <c r="E227" s="39"/>
      <c r="F227" s="39"/>
      <c r="G227" s="39"/>
      <c r="H227" s="40"/>
      <c r="I227" s="41" t="s">
        <v>300</v>
      </c>
      <c r="J227" s="42">
        <f>SUM(J226:K226)-L226</f>
        <v>5149.9999999999991</v>
      </c>
      <c r="K227" s="34"/>
      <c r="L227" s="3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3.25" x14ac:dyDescent="0.35">
      <c r="A228" s="43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44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46.5" x14ac:dyDescent="0.35">
      <c r="A229" s="22" t="s">
        <v>93</v>
      </c>
      <c r="B229" s="23" t="s">
        <v>94</v>
      </c>
      <c r="C229" s="23" t="s">
        <v>1</v>
      </c>
      <c r="D229" s="24" t="s">
        <v>284</v>
      </c>
      <c r="E229" s="24" t="s">
        <v>285</v>
      </c>
      <c r="F229" s="24" t="s">
        <v>286</v>
      </c>
      <c r="G229" s="24" t="s">
        <v>287</v>
      </c>
      <c r="H229" s="24" t="s">
        <v>286</v>
      </c>
      <c r="I229" s="24" t="s">
        <v>287</v>
      </c>
      <c r="J229" s="24" t="s">
        <v>288</v>
      </c>
      <c r="K229" s="24" t="s">
        <v>234</v>
      </c>
      <c r="L229" s="25" t="s">
        <v>302</v>
      </c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3.25" x14ac:dyDescent="0.35">
      <c r="A230" s="148" t="s">
        <v>85</v>
      </c>
      <c r="B230" s="145" t="s">
        <v>91</v>
      </c>
      <c r="C230" s="145" t="s">
        <v>301</v>
      </c>
      <c r="D230" s="27">
        <v>46100</v>
      </c>
      <c r="E230" s="28" t="s">
        <v>291</v>
      </c>
      <c r="F230" s="29"/>
      <c r="G230" s="29"/>
      <c r="H230" s="29"/>
      <c r="I230" s="29"/>
      <c r="J230" s="30">
        <f t="shared" ref="J230:J236" si="56">(((I230-H230)+(G230-F230))*24)</f>
        <v>0</v>
      </c>
      <c r="K230" s="28"/>
      <c r="L230" s="31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3.25" x14ac:dyDescent="0.35">
      <c r="A231" s="149"/>
      <c r="B231" s="146"/>
      <c r="C231" s="146"/>
      <c r="D231" s="27">
        <v>46101</v>
      </c>
      <c r="E231" s="28" t="s">
        <v>292</v>
      </c>
      <c r="F231" s="29">
        <v>0.29166666666666669</v>
      </c>
      <c r="G231" s="29">
        <v>0.54166666666666663</v>
      </c>
      <c r="H231" s="29">
        <v>0.58333333333333337</v>
      </c>
      <c r="I231" s="29">
        <v>0.75347222222222221</v>
      </c>
      <c r="J231" s="30">
        <f t="shared" si="56"/>
        <v>10.08333333333333</v>
      </c>
      <c r="K231" s="30">
        <f t="shared" ref="K231:K232" si="57">J231-8</f>
        <v>2.0833333333333304</v>
      </c>
      <c r="L231" s="31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3.25" x14ac:dyDescent="0.35">
      <c r="A232" s="149"/>
      <c r="B232" s="146"/>
      <c r="C232" s="146"/>
      <c r="D232" s="27">
        <v>46102</v>
      </c>
      <c r="E232" s="28" t="s">
        <v>293</v>
      </c>
      <c r="F232" s="29">
        <v>0.29166666666666669</v>
      </c>
      <c r="G232" s="29">
        <v>0.54166666666666663</v>
      </c>
      <c r="H232" s="29">
        <v>0.58333333333333337</v>
      </c>
      <c r="I232" s="29">
        <v>0.76388888888888884</v>
      </c>
      <c r="J232" s="30">
        <f t="shared" si="56"/>
        <v>10.33333333333333</v>
      </c>
      <c r="K232" s="30">
        <f t="shared" si="57"/>
        <v>2.3333333333333304</v>
      </c>
      <c r="L232" s="31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3.25" x14ac:dyDescent="0.35">
      <c r="A233" s="149"/>
      <c r="B233" s="146"/>
      <c r="C233" s="146"/>
      <c r="D233" s="27">
        <v>46103</v>
      </c>
      <c r="E233" s="28" t="s">
        <v>294</v>
      </c>
      <c r="F233" s="29"/>
      <c r="G233" s="29"/>
      <c r="H233" s="29"/>
      <c r="I233" s="29"/>
      <c r="J233" s="30">
        <f t="shared" si="56"/>
        <v>0</v>
      </c>
      <c r="K233" s="28"/>
      <c r="L233" s="31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3.25" x14ac:dyDescent="0.35">
      <c r="A234" s="149"/>
      <c r="B234" s="146"/>
      <c r="C234" s="146"/>
      <c r="D234" s="27">
        <v>46104</v>
      </c>
      <c r="E234" s="28" t="s">
        <v>295</v>
      </c>
      <c r="F234" s="29">
        <v>0.30902777777777779</v>
      </c>
      <c r="G234" s="29">
        <v>0.54166666666666663</v>
      </c>
      <c r="H234" s="29">
        <v>0.58333333333333337</v>
      </c>
      <c r="I234" s="29">
        <v>0.75694444444444442</v>
      </c>
      <c r="J234" s="30">
        <f t="shared" si="56"/>
        <v>9.7499999999999964</v>
      </c>
      <c r="K234" s="30">
        <f t="shared" ref="K234:K236" si="58">J234-8</f>
        <v>1.7499999999999964</v>
      </c>
      <c r="L234" s="31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3.25" x14ac:dyDescent="0.35">
      <c r="A235" s="149"/>
      <c r="B235" s="146"/>
      <c r="C235" s="146"/>
      <c r="D235" s="27">
        <v>46105</v>
      </c>
      <c r="E235" s="28" t="s">
        <v>296</v>
      </c>
      <c r="F235" s="29">
        <v>0.29166666666666669</v>
      </c>
      <c r="G235" s="29">
        <v>0.54166666666666663</v>
      </c>
      <c r="H235" s="29">
        <v>0.58333333333333337</v>
      </c>
      <c r="I235" s="29">
        <v>0.79166666666666663</v>
      </c>
      <c r="J235" s="30">
        <f t="shared" si="56"/>
        <v>10.999999999999996</v>
      </c>
      <c r="K235" s="30">
        <f t="shared" si="58"/>
        <v>2.9999999999999964</v>
      </c>
      <c r="L235" s="31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3.25" x14ac:dyDescent="0.35">
      <c r="A236" s="149"/>
      <c r="B236" s="146"/>
      <c r="C236" s="146"/>
      <c r="D236" s="27">
        <v>46106</v>
      </c>
      <c r="E236" s="28" t="s">
        <v>297</v>
      </c>
      <c r="F236" s="29">
        <v>0.29166666666666669</v>
      </c>
      <c r="G236" s="29">
        <v>0.54166666666666663</v>
      </c>
      <c r="H236" s="29">
        <v>0.58333333333333337</v>
      </c>
      <c r="I236" s="29">
        <v>0.79166666666666663</v>
      </c>
      <c r="J236" s="30">
        <f t="shared" si="56"/>
        <v>10.999999999999996</v>
      </c>
      <c r="K236" s="30">
        <f t="shared" si="58"/>
        <v>2.9999999999999964</v>
      </c>
      <c r="L236" s="33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3.25" x14ac:dyDescent="0.35">
      <c r="A237" s="149"/>
      <c r="B237" s="146"/>
      <c r="C237" s="146"/>
      <c r="D237" s="27"/>
      <c r="E237" s="28"/>
      <c r="F237" s="28"/>
      <c r="G237" s="28"/>
      <c r="H237" s="26"/>
      <c r="I237" s="34" t="s">
        <v>298</v>
      </c>
      <c r="J237" s="35">
        <v>800</v>
      </c>
      <c r="K237" s="34"/>
      <c r="L237" s="3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3.25" x14ac:dyDescent="0.35">
      <c r="A238" s="149"/>
      <c r="B238" s="146"/>
      <c r="C238" s="146"/>
      <c r="D238" s="27"/>
      <c r="E238" s="28"/>
      <c r="F238" s="28"/>
      <c r="G238" s="28"/>
      <c r="H238" s="37"/>
      <c r="I238" s="34" t="s">
        <v>299</v>
      </c>
      <c r="J238" s="35">
        <f>J237*(COUNTIF(J230:J236, "&gt;0.00"))</f>
        <v>4000</v>
      </c>
      <c r="K238" s="35">
        <f>(J237/8)*(SUM(K230:K236))</f>
        <v>1216.6666666666649</v>
      </c>
      <c r="L238" s="36">
        <f>SUM(L230:L236)</f>
        <v>0</v>
      </c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3.25" x14ac:dyDescent="0.35">
      <c r="A239" s="150"/>
      <c r="B239" s="147"/>
      <c r="C239" s="147"/>
      <c r="D239" s="38"/>
      <c r="E239" s="39"/>
      <c r="F239" s="39"/>
      <c r="G239" s="39"/>
      <c r="H239" s="40"/>
      <c r="I239" s="41" t="s">
        <v>300</v>
      </c>
      <c r="J239" s="42">
        <f>SUM(J238:K238)-L238</f>
        <v>5216.6666666666652</v>
      </c>
      <c r="K239" s="34"/>
      <c r="L239" s="3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3.25" x14ac:dyDescent="0.35">
      <c r="A240" s="43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44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46.5" x14ac:dyDescent="0.35">
      <c r="A241" s="22" t="s">
        <v>93</v>
      </c>
      <c r="B241" s="23" t="s">
        <v>94</v>
      </c>
      <c r="C241" s="23" t="s">
        <v>1</v>
      </c>
      <c r="D241" s="24" t="s">
        <v>284</v>
      </c>
      <c r="E241" s="24" t="s">
        <v>285</v>
      </c>
      <c r="F241" s="24" t="s">
        <v>286</v>
      </c>
      <c r="G241" s="24" t="s">
        <v>287</v>
      </c>
      <c r="H241" s="24" t="s">
        <v>286</v>
      </c>
      <c r="I241" s="24" t="s">
        <v>287</v>
      </c>
      <c r="J241" s="24" t="s">
        <v>288</v>
      </c>
      <c r="K241" s="24" t="s">
        <v>234</v>
      </c>
      <c r="L241" s="25" t="s">
        <v>302</v>
      </c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3.25" x14ac:dyDescent="0.35">
      <c r="A242" s="148" t="s">
        <v>87</v>
      </c>
      <c r="B242" s="145" t="s">
        <v>113</v>
      </c>
      <c r="C242" s="145" t="s">
        <v>301</v>
      </c>
      <c r="D242" s="27">
        <v>46100</v>
      </c>
      <c r="E242" s="28" t="s">
        <v>291</v>
      </c>
      <c r="F242" s="29">
        <v>0.29166666666666669</v>
      </c>
      <c r="G242" s="29">
        <v>0.54166666666666663</v>
      </c>
      <c r="H242" s="29">
        <v>0.58333333333333337</v>
      </c>
      <c r="I242" s="29">
        <v>0.75347222222222221</v>
      </c>
      <c r="J242" s="30">
        <f t="shared" ref="J242:J248" si="59">(((I242-H242)+(G242-F242))*24)</f>
        <v>10.08333333333333</v>
      </c>
      <c r="K242" s="30">
        <f t="shared" ref="K242:K244" si="60">J242-8</f>
        <v>2.0833333333333304</v>
      </c>
      <c r="L242" s="31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3.25" x14ac:dyDescent="0.35">
      <c r="A243" s="149"/>
      <c r="B243" s="146"/>
      <c r="C243" s="146"/>
      <c r="D243" s="27">
        <v>46101</v>
      </c>
      <c r="E243" s="28" t="s">
        <v>292</v>
      </c>
      <c r="F243" s="29">
        <v>0.28958333333333336</v>
      </c>
      <c r="G243" s="29">
        <v>0.54166666666666663</v>
      </c>
      <c r="H243" s="29">
        <v>0.58333333333333337</v>
      </c>
      <c r="I243" s="29">
        <v>0.75347222222222221</v>
      </c>
      <c r="J243" s="30">
        <f t="shared" si="59"/>
        <v>10.133333333333331</v>
      </c>
      <c r="K243" s="30">
        <f t="shared" si="60"/>
        <v>2.1333333333333311</v>
      </c>
      <c r="L243" s="31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3.25" x14ac:dyDescent="0.35">
      <c r="A244" s="149"/>
      <c r="B244" s="146"/>
      <c r="C244" s="146"/>
      <c r="D244" s="27">
        <v>46102</v>
      </c>
      <c r="E244" s="28" t="s">
        <v>293</v>
      </c>
      <c r="F244" s="29">
        <v>0.29166666666666669</v>
      </c>
      <c r="G244" s="29">
        <v>0.54166666666666663</v>
      </c>
      <c r="H244" s="29">
        <v>0.58333333333333337</v>
      </c>
      <c r="I244" s="29">
        <v>0.76388888888888884</v>
      </c>
      <c r="J244" s="30">
        <f t="shared" si="59"/>
        <v>10.33333333333333</v>
      </c>
      <c r="K244" s="30">
        <f t="shared" si="60"/>
        <v>2.3333333333333304</v>
      </c>
      <c r="L244" s="31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3.25" x14ac:dyDescent="0.35">
      <c r="A245" s="149"/>
      <c r="B245" s="146"/>
      <c r="C245" s="146"/>
      <c r="D245" s="27">
        <v>46103</v>
      </c>
      <c r="E245" s="28" t="s">
        <v>294</v>
      </c>
      <c r="F245" s="29"/>
      <c r="G245" s="29"/>
      <c r="H245" s="29"/>
      <c r="I245" s="29"/>
      <c r="J245" s="30">
        <f t="shared" si="59"/>
        <v>0</v>
      </c>
      <c r="K245" s="28"/>
      <c r="L245" s="31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3.25" x14ac:dyDescent="0.35">
      <c r="A246" s="149"/>
      <c r="B246" s="146"/>
      <c r="C246" s="146"/>
      <c r="D246" s="27">
        <v>46104</v>
      </c>
      <c r="E246" s="28" t="s">
        <v>295</v>
      </c>
      <c r="F246" s="29">
        <v>0.29166666666666669</v>
      </c>
      <c r="G246" s="29">
        <v>0.54166666666666663</v>
      </c>
      <c r="H246" s="29">
        <v>0.58333333333333337</v>
      </c>
      <c r="I246" s="29">
        <v>0.75694444444444442</v>
      </c>
      <c r="J246" s="30">
        <f t="shared" si="59"/>
        <v>10.166666666666664</v>
      </c>
      <c r="K246" s="30">
        <f t="shared" ref="K246:K248" si="61">J246-8</f>
        <v>2.1666666666666643</v>
      </c>
      <c r="L246" s="31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3.25" x14ac:dyDescent="0.35">
      <c r="A247" s="149"/>
      <c r="B247" s="146"/>
      <c r="C247" s="146"/>
      <c r="D247" s="27">
        <v>46105</v>
      </c>
      <c r="E247" s="28" t="s">
        <v>296</v>
      </c>
      <c r="F247" s="29">
        <v>0.29166666666666669</v>
      </c>
      <c r="G247" s="29">
        <v>0.54166666666666663</v>
      </c>
      <c r="H247" s="29">
        <v>0.58333333333333337</v>
      </c>
      <c r="I247" s="29">
        <v>0.79166666666666663</v>
      </c>
      <c r="J247" s="30">
        <f t="shared" si="59"/>
        <v>10.999999999999996</v>
      </c>
      <c r="K247" s="30">
        <f t="shared" si="61"/>
        <v>2.9999999999999964</v>
      </c>
      <c r="L247" s="31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3.25" x14ac:dyDescent="0.35">
      <c r="A248" s="149"/>
      <c r="B248" s="146"/>
      <c r="C248" s="146"/>
      <c r="D248" s="27">
        <v>46106</v>
      </c>
      <c r="E248" s="28" t="s">
        <v>297</v>
      </c>
      <c r="F248" s="29">
        <v>0.29166666666666669</v>
      </c>
      <c r="G248" s="29">
        <v>0.54166666666666663</v>
      </c>
      <c r="H248" s="29">
        <v>0.58333333333333337</v>
      </c>
      <c r="I248" s="29">
        <v>0.79166666666666663</v>
      </c>
      <c r="J248" s="30">
        <f t="shared" si="59"/>
        <v>10.999999999999996</v>
      </c>
      <c r="K248" s="32">
        <f t="shared" si="61"/>
        <v>2.9999999999999964</v>
      </c>
      <c r="L248" s="33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3.25" x14ac:dyDescent="0.35">
      <c r="A249" s="149"/>
      <c r="B249" s="146"/>
      <c r="C249" s="146"/>
      <c r="D249" s="27"/>
      <c r="E249" s="28"/>
      <c r="F249" s="28"/>
      <c r="G249" s="28"/>
      <c r="H249" s="26"/>
      <c r="I249" s="34" t="s">
        <v>298</v>
      </c>
      <c r="J249" s="35">
        <v>800</v>
      </c>
      <c r="K249" s="34"/>
      <c r="L249" s="3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3.25" x14ac:dyDescent="0.35">
      <c r="A250" s="149"/>
      <c r="B250" s="146"/>
      <c r="C250" s="146"/>
      <c r="D250" s="27"/>
      <c r="E250" s="28"/>
      <c r="F250" s="28"/>
      <c r="G250" s="28"/>
      <c r="H250" s="37"/>
      <c r="I250" s="34" t="s">
        <v>299</v>
      </c>
      <c r="J250" s="35">
        <f>J249*(COUNTIF(J242:J248, "&gt;0.00"))</f>
        <v>4800</v>
      </c>
      <c r="K250" s="35">
        <f>(J249/8)*(SUM(K242:K248))</f>
        <v>1471.6666666666649</v>
      </c>
      <c r="L250" s="36">
        <f>SUM(L242:L248)</f>
        <v>0</v>
      </c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3.25" x14ac:dyDescent="0.35">
      <c r="A251" s="150"/>
      <c r="B251" s="147"/>
      <c r="C251" s="147"/>
      <c r="D251" s="38"/>
      <c r="E251" s="39"/>
      <c r="F251" s="39"/>
      <c r="G251" s="39"/>
      <c r="H251" s="40"/>
      <c r="I251" s="41" t="s">
        <v>300</v>
      </c>
      <c r="J251" s="42">
        <f>SUM(J250:K250)-L250</f>
        <v>6271.6666666666652</v>
      </c>
      <c r="K251" s="34"/>
      <c r="L251" s="3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3.25" x14ac:dyDescent="0.35">
      <c r="A252" s="43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44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46.5" x14ac:dyDescent="0.35">
      <c r="A253" s="22" t="s">
        <v>93</v>
      </c>
      <c r="B253" s="23" t="s">
        <v>94</v>
      </c>
      <c r="C253" s="23" t="s">
        <v>1</v>
      </c>
      <c r="D253" s="24" t="s">
        <v>284</v>
      </c>
      <c r="E253" s="24" t="s">
        <v>285</v>
      </c>
      <c r="F253" s="24" t="s">
        <v>286</v>
      </c>
      <c r="G253" s="24" t="s">
        <v>287</v>
      </c>
      <c r="H253" s="24" t="s">
        <v>286</v>
      </c>
      <c r="I253" s="24" t="s">
        <v>287</v>
      </c>
      <c r="J253" s="24" t="s">
        <v>288</v>
      </c>
      <c r="K253" s="24" t="s">
        <v>234</v>
      </c>
      <c r="L253" s="25" t="s">
        <v>302</v>
      </c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3.25" x14ac:dyDescent="0.35">
      <c r="A254" s="148" t="s">
        <v>90</v>
      </c>
      <c r="B254" s="145" t="s">
        <v>114</v>
      </c>
      <c r="C254" s="145" t="s">
        <v>301</v>
      </c>
      <c r="D254" s="27">
        <v>46100</v>
      </c>
      <c r="E254" s="28" t="s">
        <v>291</v>
      </c>
      <c r="F254" s="29">
        <v>0.29166666666666669</v>
      </c>
      <c r="G254" s="29">
        <v>0.54166666666666663</v>
      </c>
      <c r="H254" s="29">
        <v>0.58333333333333337</v>
      </c>
      <c r="I254" s="29">
        <v>0.75347222222222221</v>
      </c>
      <c r="J254" s="30">
        <f t="shared" ref="J254:J260" si="62">(((I254-H254)+(G254-F254))*24)</f>
        <v>10.08333333333333</v>
      </c>
      <c r="K254" s="30">
        <f t="shared" ref="K254:K256" si="63">J254-8</f>
        <v>2.0833333333333304</v>
      </c>
      <c r="L254" s="31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3.25" x14ac:dyDescent="0.35">
      <c r="A255" s="149"/>
      <c r="B255" s="146"/>
      <c r="C255" s="146"/>
      <c r="D255" s="27">
        <v>46101</v>
      </c>
      <c r="E255" s="28" t="s">
        <v>292</v>
      </c>
      <c r="F255" s="29">
        <v>0.28958333333333336</v>
      </c>
      <c r="G255" s="29">
        <v>0.54166666666666663</v>
      </c>
      <c r="H255" s="29">
        <v>0.58333333333333337</v>
      </c>
      <c r="I255" s="29">
        <v>0.75347222222222221</v>
      </c>
      <c r="J255" s="30">
        <f t="shared" si="62"/>
        <v>10.133333333333331</v>
      </c>
      <c r="K255" s="30">
        <f t="shared" si="63"/>
        <v>2.1333333333333311</v>
      </c>
      <c r="L255" s="31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3.25" x14ac:dyDescent="0.35">
      <c r="A256" s="149"/>
      <c r="B256" s="146"/>
      <c r="C256" s="146"/>
      <c r="D256" s="27">
        <v>46102</v>
      </c>
      <c r="E256" s="28" t="s">
        <v>293</v>
      </c>
      <c r="F256" s="29">
        <v>0.29166666666666669</v>
      </c>
      <c r="G256" s="29">
        <v>0.54166666666666663</v>
      </c>
      <c r="H256" s="29">
        <v>0.58333333333333337</v>
      </c>
      <c r="I256" s="29">
        <v>0.77777777777777779</v>
      </c>
      <c r="J256" s="30">
        <f t="shared" si="62"/>
        <v>10.666666666666664</v>
      </c>
      <c r="K256" s="30">
        <f t="shared" si="63"/>
        <v>2.6666666666666643</v>
      </c>
      <c r="L256" s="31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3.25" x14ac:dyDescent="0.35">
      <c r="A257" s="149"/>
      <c r="B257" s="146"/>
      <c r="C257" s="146"/>
      <c r="D257" s="27">
        <v>46103</v>
      </c>
      <c r="E257" s="28" t="s">
        <v>294</v>
      </c>
      <c r="F257" s="29"/>
      <c r="G257" s="29"/>
      <c r="H257" s="29"/>
      <c r="I257" s="29"/>
      <c r="J257" s="30">
        <f t="shared" si="62"/>
        <v>0</v>
      </c>
      <c r="K257" s="28"/>
      <c r="L257" s="31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3.25" x14ac:dyDescent="0.35">
      <c r="A258" s="149"/>
      <c r="B258" s="146"/>
      <c r="C258" s="146"/>
      <c r="D258" s="27">
        <v>46104</v>
      </c>
      <c r="E258" s="28" t="s">
        <v>295</v>
      </c>
      <c r="F258" s="29">
        <v>0.29166666666666669</v>
      </c>
      <c r="G258" s="29">
        <v>0.54166666666666663</v>
      </c>
      <c r="H258" s="29">
        <v>0.58333333333333337</v>
      </c>
      <c r="I258" s="29">
        <v>0.75694444444444442</v>
      </c>
      <c r="J258" s="30">
        <f t="shared" si="62"/>
        <v>10.166666666666664</v>
      </c>
      <c r="K258" s="30">
        <f t="shared" ref="K258:K260" si="64">J258-8</f>
        <v>2.1666666666666643</v>
      </c>
      <c r="L258" s="31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3.25" x14ac:dyDescent="0.35">
      <c r="A259" s="149"/>
      <c r="B259" s="146"/>
      <c r="C259" s="146"/>
      <c r="D259" s="27">
        <v>46105</v>
      </c>
      <c r="E259" s="28" t="s">
        <v>296</v>
      </c>
      <c r="F259" s="29">
        <v>0.29166666666666669</v>
      </c>
      <c r="G259" s="29">
        <v>0.54166666666666663</v>
      </c>
      <c r="H259" s="29">
        <v>0.58333333333333337</v>
      </c>
      <c r="I259" s="29">
        <v>0.79166666666666663</v>
      </c>
      <c r="J259" s="30">
        <f t="shared" si="62"/>
        <v>10.999999999999996</v>
      </c>
      <c r="K259" s="30">
        <f t="shared" si="64"/>
        <v>2.9999999999999964</v>
      </c>
      <c r="L259" s="31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3.25" x14ac:dyDescent="0.35">
      <c r="A260" s="149"/>
      <c r="B260" s="146"/>
      <c r="C260" s="146"/>
      <c r="D260" s="27">
        <v>46106</v>
      </c>
      <c r="E260" s="28" t="s">
        <v>297</v>
      </c>
      <c r="F260" s="29">
        <v>0.29166666666666669</v>
      </c>
      <c r="G260" s="29">
        <v>0.54166666666666663</v>
      </c>
      <c r="H260" s="29">
        <v>0.58333333333333337</v>
      </c>
      <c r="I260" s="29">
        <v>0.79166666666666663</v>
      </c>
      <c r="J260" s="30">
        <f t="shared" si="62"/>
        <v>10.999999999999996</v>
      </c>
      <c r="K260" s="32">
        <f t="shared" si="64"/>
        <v>2.9999999999999964</v>
      </c>
      <c r="L260" s="33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3.25" x14ac:dyDescent="0.35">
      <c r="A261" s="149"/>
      <c r="B261" s="146"/>
      <c r="C261" s="146"/>
      <c r="D261" s="27"/>
      <c r="E261" s="28"/>
      <c r="F261" s="28"/>
      <c r="G261" s="28"/>
      <c r="H261" s="26"/>
      <c r="I261" s="34" t="s">
        <v>298</v>
      </c>
      <c r="J261" s="35">
        <v>800</v>
      </c>
      <c r="K261" s="34"/>
      <c r="L261" s="3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3.25" x14ac:dyDescent="0.35">
      <c r="A262" s="149"/>
      <c r="B262" s="146"/>
      <c r="C262" s="146"/>
      <c r="D262" s="27"/>
      <c r="E262" s="28"/>
      <c r="F262" s="28"/>
      <c r="G262" s="28"/>
      <c r="H262" s="37"/>
      <c r="I262" s="34" t="s">
        <v>299</v>
      </c>
      <c r="J262" s="35">
        <f>J261*(COUNTIF(J254:J260, "&gt;0.00"))</f>
        <v>4800</v>
      </c>
      <c r="K262" s="35">
        <f>(J261/8)*(SUM(K254:K260))</f>
        <v>1504.9999999999982</v>
      </c>
      <c r="L262" s="36">
        <f>SUM(L254:L260)</f>
        <v>0</v>
      </c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3.25" x14ac:dyDescent="0.35">
      <c r="A263" s="150"/>
      <c r="B263" s="147"/>
      <c r="C263" s="147"/>
      <c r="D263" s="38"/>
      <c r="E263" s="39"/>
      <c r="F263" s="39"/>
      <c r="G263" s="39"/>
      <c r="H263" s="40"/>
      <c r="I263" s="41" t="s">
        <v>300</v>
      </c>
      <c r="J263" s="42">
        <f>SUM(J262:K262)-L262</f>
        <v>6304.9999999999982</v>
      </c>
      <c r="K263" s="34"/>
      <c r="L263" s="3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3.25" x14ac:dyDescent="0.35">
      <c r="A264" s="43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44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46.5" x14ac:dyDescent="0.35">
      <c r="A265" s="22" t="s">
        <v>93</v>
      </c>
      <c r="B265" s="23" t="s">
        <v>94</v>
      </c>
      <c r="C265" s="23" t="s">
        <v>1</v>
      </c>
      <c r="D265" s="24" t="s">
        <v>284</v>
      </c>
      <c r="E265" s="24" t="s">
        <v>285</v>
      </c>
      <c r="F265" s="24" t="s">
        <v>286</v>
      </c>
      <c r="G265" s="24" t="s">
        <v>287</v>
      </c>
      <c r="H265" s="24" t="s">
        <v>286</v>
      </c>
      <c r="I265" s="24" t="s">
        <v>287</v>
      </c>
      <c r="J265" s="24" t="s">
        <v>288</v>
      </c>
      <c r="K265" s="24" t="s">
        <v>234</v>
      </c>
      <c r="L265" s="25" t="s">
        <v>302</v>
      </c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3.25" x14ac:dyDescent="0.35">
      <c r="A266" s="148" t="s">
        <v>213</v>
      </c>
      <c r="B266" s="145" t="s">
        <v>115</v>
      </c>
      <c r="C266" s="145" t="s">
        <v>301</v>
      </c>
      <c r="D266" s="27">
        <v>46100</v>
      </c>
      <c r="E266" s="28" t="s">
        <v>291</v>
      </c>
      <c r="F266" s="29">
        <v>0.29166666666666669</v>
      </c>
      <c r="G266" s="29">
        <v>0.54166666666666663</v>
      </c>
      <c r="H266" s="29">
        <v>0.58333333333333337</v>
      </c>
      <c r="I266" s="29">
        <v>0.79166666666666663</v>
      </c>
      <c r="J266" s="30">
        <f t="shared" ref="J266:J272" si="65">(((I266-H266)+(G266-F266))*24)</f>
        <v>10.999999999999996</v>
      </c>
      <c r="K266" s="30">
        <f t="shared" ref="K266:K272" si="66">J266-8</f>
        <v>2.9999999999999964</v>
      </c>
      <c r="L266" s="31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3.25" x14ac:dyDescent="0.35">
      <c r="A267" s="149"/>
      <c r="B267" s="146"/>
      <c r="C267" s="146"/>
      <c r="D267" s="27">
        <v>46101</v>
      </c>
      <c r="E267" s="28" t="s">
        <v>292</v>
      </c>
      <c r="F267" s="29">
        <v>0.2902777777777778</v>
      </c>
      <c r="G267" s="29">
        <v>0.54166666666666663</v>
      </c>
      <c r="H267" s="29">
        <v>0.58333333333333337</v>
      </c>
      <c r="I267" s="29">
        <v>0.78472222222222221</v>
      </c>
      <c r="J267" s="30">
        <f t="shared" si="65"/>
        <v>10.866666666666664</v>
      </c>
      <c r="K267" s="30">
        <f t="shared" si="66"/>
        <v>2.8666666666666636</v>
      </c>
      <c r="L267" s="31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3.25" x14ac:dyDescent="0.35">
      <c r="A268" s="149"/>
      <c r="B268" s="146"/>
      <c r="C268" s="146"/>
      <c r="D268" s="27">
        <v>46102</v>
      </c>
      <c r="E268" s="28" t="s">
        <v>293</v>
      </c>
      <c r="F268" s="29">
        <v>0.29166666666666669</v>
      </c>
      <c r="G268" s="29">
        <v>0.54166666666666663</v>
      </c>
      <c r="H268" s="29">
        <v>0.58333333333333337</v>
      </c>
      <c r="I268" s="29">
        <v>0.77777777777777779</v>
      </c>
      <c r="J268" s="30">
        <f t="shared" si="65"/>
        <v>10.666666666666664</v>
      </c>
      <c r="K268" s="30">
        <f t="shared" si="66"/>
        <v>2.6666666666666643</v>
      </c>
      <c r="L268" s="31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3.25" x14ac:dyDescent="0.35">
      <c r="A269" s="149"/>
      <c r="B269" s="146"/>
      <c r="C269" s="146"/>
      <c r="D269" s="27">
        <v>46103</v>
      </c>
      <c r="E269" s="28" t="s">
        <v>294</v>
      </c>
      <c r="F269" s="29">
        <v>0.375</v>
      </c>
      <c r="G269" s="29">
        <v>0.5</v>
      </c>
      <c r="H269" s="29">
        <v>0.66666666666666663</v>
      </c>
      <c r="I269" s="29">
        <v>0.75</v>
      </c>
      <c r="J269" s="30">
        <f t="shared" si="65"/>
        <v>5.0000000000000009</v>
      </c>
      <c r="K269" s="30">
        <f t="shared" si="66"/>
        <v>-2.9999999999999991</v>
      </c>
      <c r="L269" s="31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3.25" x14ac:dyDescent="0.35">
      <c r="A270" s="149"/>
      <c r="B270" s="146"/>
      <c r="C270" s="146"/>
      <c r="D270" s="27">
        <v>46104</v>
      </c>
      <c r="E270" s="28" t="s">
        <v>295</v>
      </c>
      <c r="F270" s="29">
        <v>0.29166666666666669</v>
      </c>
      <c r="G270" s="29">
        <v>0.54166666666666663</v>
      </c>
      <c r="H270" s="29">
        <v>0.58333333333333337</v>
      </c>
      <c r="I270" s="29">
        <v>0.77083333333333337</v>
      </c>
      <c r="J270" s="30">
        <f t="shared" si="65"/>
        <v>10.499999999999998</v>
      </c>
      <c r="K270" s="30">
        <f t="shared" si="66"/>
        <v>2.4999999999999982</v>
      </c>
      <c r="L270" s="31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3.25" x14ac:dyDescent="0.35">
      <c r="A271" s="149"/>
      <c r="B271" s="146"/>
      <c r="C271" s="146"/>
      <c r="D271" s="27">
        <v>46105</v>
      </c>
      <c r="E271" s="28" t="s">
        <v>296</v>
      </c>
      <c r="F271" s="29">
        <v>0.29166666666666669</v>
      </c>
      <c r="G271" s="29">
        <v>0.54166666666666663</v>
      </c>
      <c r="H271" s="29">
        <v>0.58333333333333337</v>
      </c>
      <c r="I271" s="29">
        <v>0.79166666666666663</v>
      </c>
      <c r="J271" s="30">
        <f t="shared" si="65"/>
        <v>10.999999999999996</v>
      </c>
      <c r="K271" s="30">
        <f t="shared" si="66"/>
        <v>2.9999999999999964</v>
      </c>
      <c r="L271" s="31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3.25" x14ac:dyDescent="0.35">
      <c r="A272" s="149"/>
      <c r="B272" s="146"/>
      <c r="C272" s="146"/>
      <c r="D272" s="27">
        <v>46106</v>
      </c>
      <c r="E272" s="28" t="s">
        <v>297</v>
      </c>
      <c r="F272" s="29">
        <v>0.29166666666666669</v>
      </c>
      <c r="G272" s="29">
        <v>0.54166666666666663</v>
      </c>
      <c r="H272" s="29">
        <v>0.58333333333333337</v>
      </c>
      <c r="I272" s="29">
        <v>0.79166666666666663</v>
      </c>
      <c r="J272" s="30">
        <f t="shared" si="65"/>
        <v>10.999999999999996</v>
      </c>
      <c r="K272" s="32">
        <f t="shared" si="66"/>
        <v>2.9999999999999964</v>
      </c>
      <c r="L272" s="33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3.25" x14ac:dyDescent="0.35">
      <c r="A273" s="149"/>
      <c r="B273" s="146"/>
      <c r="C273" s="146"/>
      <c r="D273" s="27"/>
      <c r="E273" s="28"/>
      <c r="F273" s="28"/>
      <c r="G273" s="28"/>
      <c r="H273" s="26"/>
      <c r="I273" s="34" t="s">
        <v>298</v>
      </c>
      <c r="J273" s="35">
        <v>800</v>
      </c>
      <c r="K273" s="34"/>
      <c r="L273" s="3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3.25" x14ac:dyDescent="0.35">
      <c r="A274" s="149"/>
      <c r="B274" s="146"/>
      <c r="C274" s="146"/>
      <c r="D274" s="27"/>
      <c r="E274" s="28"/>
      <c r="F274" s="28"/>
      <c r="G274" s="28"/>
      <c r="H274" s="37"/>
      <c r="I274" s="34" t="s">
        <v>299</v>
      </c>
      <c r="J274" s="74">
        <f>J273*(COUNTIF(J266:J272, "&gt;0.00"))</f>
        <v>5600</v>
      </c>
      <c r="K274" s="74">
        <f>(J273/8)*(SUM(K266:K272))</f>
        <v>1403.3333333333317</v>
      </c>
      <c r="L274" s="75">
        <f>SUM(L266:L272)</f>
        <v>0</v>
      </c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3.25" x14ac:dyDescent="0.35">
      <c r="A275" s="150"/>
      <c r="B275" s="147"/>
      <c r="C275" s="147"/>
      <c r="D275" s="38"/>
      <c r="E275" s="39"/>
      <c r="F275" s="39"/>
      <c r="G275" s="39"/>
      <c r="H275" s="40"/>
      <c r="I275" s="41" t="s">
        <v>300</v>
      </c>
      <c r="J275" s="76">
        <f>SUM(J274:K274)-L274</f>
        <v>7003.3333333333321</v>
      </c>
      <c r="K275" s="77"/>
      <c r="L275" s="78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3.25" x14ac:dyDescent="0.35">
      <c r="A276" s="43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44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46.5" x14ac:dyDescent="0.35">
      <c r="A277" s="22" t="s">
        <v>93</v>
      </c>
      <c r="B277" s="23" t="s">
        <v>94</v>
      </c>
      <c r="C277" s="23" t="s">
        <v>1</v>
      </c>
      <c r="D277" s="24" t="s">
        <v>284</v>
      </c>
      <c r="E277" s="24" t="s">
        <v>285</v>
      </c>
      <c r="F277" s="24" t="s">
        <v>286</v>
      </c>
      <c r="G277" s="24" t="s">
        <v>287</v>
      </c>
      <c r="H277" s="24" t="s">
        <v>286</v>
      </c>
      <c r="I277" s="24" t="s">
        <v>287</v>
      </c>
      <c r="J277" s="24" t="s">
        <v>288</v>
      </c>
      <c r="K277" s="24" t="s">
        <v>234</v>
      </c>
      <c r="L277" s="25" t="s">
        <v>302</v>
      </c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3.25" x14ac:dyDescent="0.35">
      <c r="A278" s="148" t="s">
        <v>215</v>
      </c>
      <c r="B278" s="145" t="s">
        <v>116</v>
      </c>
      <c r="C278" s="145" t="s">
        <v>301</v>
      </c>
      <c r="D278" s="27">
        <v>46100</v>
      </c>
      <c r="E278" s="28" t="s">
        <v>291</v>
      </c>
      <c r="F278" s="29">
        <v>0.29166666666666669</v>
      </c>
      <c r="G278" s="29">
        <v>0.54166666666666663</v>
      </c>
      <c r="H278" s="29">
        <v>0.58333333333333337</v>
      </c>
      <c r="I278" s="29">
        <v>0.75347222222222221</v>
      </c>
      <c r="J278" s="30">
        <f t="shared" ref="J278:J284" si="67">(((I278-H278)+(G278-F278))*24)</f>
        <v>10.08333333333333</v>
      </c>
      <c r="K278" s="30">
        <f t="shared" ref="K278:K280" si="68">J278-8</f>
        <v>2.0833333333333304</v>
      </c>
      <c r="L278" s="31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3.25" x14ac:dyDescent="0.35">
      <c r="A279" s="149"/>
      <c r="B279" s="146"/>
      <c r="C279" s="146"/>
      <c r="D279" s="27">
        <v>46101</v>
      </c>
      <c r="E279" s="28" t="s">
        <v>292</v>
      </c>
      <c r="F279" s="29">
        <v>0.29166666666666669</v>
      </c>
      <c r="G279" s="29">
        <v>0.54166666666666663</v>
      </c>
      <c r="H279" s="29">
        <v>0.58333333333333337</v>
      </c>
      <c r="I279" s="29">
        <v>0.75347222222222221</v>
      </c>
      <c r="J279" s="30">
        <f t="shared" si="67"/>
        <v>10.08333333333333</v>
      </c>
      <c r="K279" s="30">
        <f t="shared" si="68"/>
        <v>2.0833333333333304</v>
      </c>
      <c r="L279" s="31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3.25" x14ac:dyDescent="0.35">
      <c r="A280" s="149"/>
      <c r="B280" s="146"/>
      <c r="C280" s="146"/>
      <c r="D280" s="27">
        <v>46102</v>
      </c>
      <c r="E280" s="28" t="s">
        <v>293</v>
      </c>
      <c r="F280" s="29">
        <v>0.29166666666666669</v>
      </c>
      <c r="G280" s="29">
        <v>0.54166666666666663</v>
      </c>
      <c r="H280" s="29">
        <v>0.58333333333333337</v>
      </c>
      <c r="I280" s="29">
        <v>0.76388888888888884</v>
      </c>
      <c r="J280" s="30">
        <f t="shared" si="67"/>
        <v>10.33333333333333</v>
      </c>
      <c r="K280" s="30">
        <f t="shared" si="68"/>
        <v>2.3333333333333304</v>
      </c>
      <c r="L280" s="31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3.25" x14ac:dyDescent="0.35">
      <c r="A281" s="149"/>
      <c r="B281" s="146"/>
      <c r="C281" s="146"/>
      <c r="D281" s="27">
        <v>46103</v>
      </c>
      <c r="E281" s="28" t="s">
        <v>294</v>
      </c>
      <c r="F281" s="29"/>
      <c r="G281" s="29"/>
      <c r="H281" s="29"/>
      <c r="I281" s="29"/>
      <c r="J281" s="30">
        <f t="shared" si="67"/>
        <v>0</v>
      </c>
      <c r="K281" s="28"/>
      <c r="L281" s="31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3.25" x14ac:dyDescent="0.35">
      <c r="A282" s="149"/>
      <c r="B282" s="146"/>
      <c r="C282" s="146"/>
      <c r="D282" s="27">
        <v>46104</v>
      </c>
      <c r="E282" s="28" t="s">
        <v>295</v>
      </c>
      <c r="F282" s="29">
        <v>0.29166666666666669</v>
      </c>
      <c r="G282" s="29">
        <v>0.54166666666666663</v>
      </c>
      <c r="H282" s="29">
        <v>0.58333333333333337</v>
      </c>
      <c r="I282" s="29">
        <v>0.75694444444444442</v>
      </c>
      <c r="J282" s="30">
        <f t="shared" si="67"/>
        <v>10.166666666666664</v>
      </c>
      <c r="K282" s="30">
        <f t="shared" ref="K282:K284" si="69">J282-8</f>
        <v>2.1666666666666643</v>
      </c>
      <c r="L282" s="31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3.25" x14ac:dyDescent="0.35">
      <c r="A283" s="149"/>
      <c r="B283" s="146"/>
      <c r="C283" s="146"/>
      <c r="D283" s="27">
        <v>46105</v>
      </c>
      <c r="E283" s="28" t="s">
        <v>296</v>
      </c>
      <c r="F283" s="29">
        <v>0.29166666666666669</v>
      </c>
      <c r="G283" s="29">
        <v>0.54166666666666663</v>
      </c>
      <c r="H283" s="29">
        <v>0.58333333333333337</v>
      </c>
      <c r="I283" s="29">
        <v>0.79166666666666663</v>
      </c>
      <c r="J283" s="30">
        <f t="shared" si="67"/>
        <v>10.999999999999996</v>
      </c>
      <c r="K283" s="30">
        <f t="shared" si="69"/>
        <v>2.9999999999999964</v>
      </c>
      <c r="L283" s="31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3.25" x14ac:dyDescent="0.35">
      <c r="A284" s="149"/>
      <c r="B284" s="146"/>
      <c r="C284" s="146"/>
      <c r="D284" s="27">
        <v>46106</v>
      </c>
      <c r="E284" s="28" t="s">
        <v>297</v>
      </c>
      <c r="F284" s="29">
        <v>0.29166666666666669</v>
      </c>
      <c r="G284" s="29">
        <v>0.54166666666666663</v>
      </c>
      <c r="H284" s="29">
        <v>0.58333333333333337</v>
      </c>
      <c r="I284" s="29">
        <v>0.79166666666666663</v>
      </c>
      <c r="J284" s="30">
        <f t="shared" si="67"/>
        <v>10.999999999999996</v>
      </c>
      <c r="K284" s="32">
        <f t="shared" si="69"/>
        <v>2.9999999999999964</v>
      </c>
      <c r="L284" s="33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3.25" x14ac:dyDescent="0.35">
      <c r="A285" s="149"/>
      <c r="B285" s="146"/>
      <c r="C285" s="146"/>
      <c r="D285" s="27"/>
      <c r="E285" s="28"/>
      <c r="F285" s="28"/>
      <c r="G285" s="28"/>
      <c r="H285" s="26"/>
      <c r="I285" s="34" t="s">
        <v>298</v>
      </c>
      <c r="J285" s="35">
        <v>880</v>
      </c>
      <c r="K285" s="34"/>
      <c r="L285" s="3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3.25" x14ac:dyDescent="0.35">
      <c r="A286" s="149"/>
      <c r="B286" s="146"/>
      <c r="C286" s="146"/>
      <c r="D286" s="27"/>
      <c r="E286" s="28"/>
      <c r="F286" s="28"/>
      <c r="G286" s="28"/>
      <c r="H286" s="37"/>
      <c r="I286" s="34" t="s">
        <v>299</v>
      </c>
      <c r="J286" s="74">
        <f>J285*(COUNTIF(J278:J284, "&gt;0.00"))</f>
        <v>5280</v>
      </c>
      <c r="K286" s="74">
        <f>(J285/8)*(SUM(K278:K284))</f>
        <v>1613.3333333333312</v>
      </c>
      <c r="L286" s="75">
        <f>SUM(L278:L284)</f>
        <v>0</v>
      </c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3.25" x14ac:dyDescent="0.35">
      <c r="A287" s="150"/>
      <c r="B287" s="147"/>
      <c r="C287" s="147"/>
      <c r="D287" s="38"/>
      <c r="E287" s="39"/>
      <c r="F287" s="39"/>
      <c r="G287" s="39"/>
      <c r="H287" s="40"/>
      <c r="I287" s="41" t="s">
        <v>300</v>
      </c>
      <c r="J287" s="76">
        <f>SUM(J286:K286)-L286</f>
        <v>6893.3333333333312</v>
      </c>
      <c r="K287" s="77"/>
      <c r="L287" s="78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3.25" x14ac:dyDescent="0.35">
      <c r="A288" s="43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44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46.5" x14ac:dyDescent="0.35">
      <c r="A289" s="22" t="s">
        <v>93</v>
      </c>
      <c r="B289" s="23" t="s">
        <v>94</v>
      </c>
      <c r="C289" s="23" t="s">
        <v>1</v>
      </c>
      <c r="D289" s="24" t="s">
        <v>284</v>
      </c>
      <c r="E289" s="24" t="s">
        <v>285</v>
      </c>
      <c r="F289" s="24" t="s">
        <v>286</v>
      </c>
      <c r="G289" s="24" t="s">
        <v>287</v>
      </c>
      <c r="H289" s="24" t="s">
        <v>286</v>
      </c>
      <c r="I289" s="24" t="s">
        <v>287</v>
      </c>
      <c r="J289" s="24" t="s">
        <v>288</v>
      </c>
      <c r="K289" s="24" t="s">
        <v>234</v>
      </c>
      <c r="L289" s="25" t="s">
        <v>302</v>
      </c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3.25" x14ac:dyDescent="0.35">
      <c r="A290" s="148" t="s">
        <v>217</v>
      </c>
      <c r="B290" s="145" t="s">
        <v>117</v>
      </c>
      <c r="C290" s="145" t="s">
        <v>301</v>
      </c>
      <c r="D290" s="27">
        <v>46100</v>
      </c>
      <c r="E290" s="28" t="s">
        <v>291</v>
      </c>
      <c r="F290" s="29">
        <v>0.29166666666666669</v>
      </c>
      <c r="G290" s="29">
        <v>0.54166666666666663</v>
      </c>
      <c r="H290" s="29">
        <v>0.58333333333333337</v>
      </c>
      <c r="I290" s="29">
        <v>0.75347222222222221</v>
      </c>
      <c r="J290" s="30">
        <f t="shared" ref="J290:J296" si="70">(((I290-H290)+(G290-F290))*24)</f>
        <v>10.08333333333333</v>
      </c>
      <c r="K290" s="30">
        <f t="shared" ref="K290:K292" si="71">J290-8</f>
        <v>2.0833333333333304</v>
      </c>
      <c r="L290" s="31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3.25" x14ac:dyDescent="0.35">
      <c r="A291" s="149"/>
      <c r="B291" s="146"/>
      <c r="C291" s="146"/>
      <c r="D291" s="27">
        <v>46101</v>
      </c>
      <c r="E291" s="28" t="s">
        <v>292</v>
      </c>
      <c r="F291" s="29">
        <v>0.29166666666666669</v>
      </c>
      <c r="G291" s="29">
        <v>0.54166666666666663</v>
      </c>
      <c r="H291" s="29">
        <v>0.58333333333333337</v>
      </c>
      <c r="I291" s="29">
        <v>0.75347222222222221</v>
      </c>
      <c r="J291" s="30">
        <f t="shared" si="70"/>
        <v>10.08333333333333</v>
      </c>
      <c r="K291" s="30">
        <f t="shared" si="71"/>
        <v>2.0833333333333304</v>
      </c>
      <c r="L291" s="31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3.25" x14ac:dyDescent="0.35">
      <c r="A292" s="149"/>
      <c r="B292" s="146"/>
      <c r="C292" s="146"/>
      <c r="D292" s="27">
        <v>46102</v>
      </c>
      <c r="E292" s="28" t="s">
        <v>293</v>
      </c>
      <c r="F292" s="29">
        <v>0.29166666666666669</v>
      </c>
      <c r="G292" s="29">
        <v>0.54166666666666663</v>
      </c>
      <c r="H292" s="29">
        <v>0.58333333333333337</v>
      </c>
      <c r="I292" s="29">
        <v>0.76388888888888884</v>
      </c>
      <c r="J292" s="30">
        <f t="shared" si="70"/>
        <v>10.33333333333333</v>
      </c>
      <c r="K292" s="30">
        <f t="shared" si="71"/>
        <v>2.3333333333333304</v>
      </c>
      <c r="L292" s="31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3.25" x14ac:dyDescent="0.35">
      <c r="A293" s="149"/>
      <c r="B293" s="146"/>
      <c r="C293" s="146"/>
      <c r="D293" s="27">
        <v>46103</v>
      </c>
      <c r="E293" s="28" t="s">
        <v>294</v>
      </c>
      <c r="F293" s="29"/>
      <c r="G293" s="29"/>
      <c r="H293" s="29"/>
      <c r="I293" s="29"/>
      <c r="J293" s="30">
        <f t="shared" si="70"/>
        <v>0</v>
      </c>
      <c r="K293" s="28"/>
      <c r="L293" s="31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3.25" x14ac:dyDescent="0.35">
      <c r="A294" s="149"/>
      <c r="B294" s="146"/>
      <c r="C294" s="146"/>
      <c r="D294" s="27">
        <v>46104</v>
      </c>
      <c r="E294" s="28" t="s">
        <v>295</v>
      </c>
      <c r="F294" s="29">
        <v>0.29166666666666669</v>
      </c>
      <c r="G294" s="29">
        <v>0.54166666666666663</v>
      </c>
      <c r="H294" s="29">
        <v>0.58333333333333337</v>
      </c>
      <c r="I294" s="29">
        <v>0.75694444444444442</v>
      </c>
      <c r="J294" s="30">
        <f t="shared" si="70"/>
        <v>10.166666666666664</v>
      </c>
      <c r="K294" s="30">
        <f t="shared" ref="K294:K296" si="72">J294-8</f>
        <v>2.1666666666666643</v>
      </c>
      <c r="L294" s="31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3.25" x14ac:dyDescent="0.35">
      <c r="A295" s="149"/>
      <c r="B295" s="146"/>
      <c r="C295" s="146"/>
      <c r="D295" s="27">
        <v>46105</v>
      </c>
      <c r="E295" s="28" t="s">
        <v>296</v>
      </c>
      <c r="F295" s="29">
        <v>0.29166666666666669</v>
      </c>
      <c r="G295" s="29">
        <v>0.54166666666666663</v>
      </c>
      <c r="H295" s="29">
        <v>0.58333333333333337</v>
      </c>
      <c r="I295" s="29">
        <v>0.79166666666666663</v>
      </c>
      <c r="J295" s="30">
        <f t="shared" si="70"/>
        <v>10.999999999999996</v>
      </c>
      <c r="K295" s="30">
        <f t="shared" si="72"/>
        <v>2.9999999999999964</v>
      </c>
      <c r="L295" s="31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3.25" x14ac:dyDescent="0.35">
      <c r="A296" s="149"/>
      <c r="B296" s="146"/>
      <c r="C296" s="146"/>
      <c r="D296" s="27">
        <v>46106</v>
      </c>
      <c r="E296" s="28" t="s">
        <v>297</v>
      </c>
      <c r="F296" s="29">
        <v>0.29166666666666669</v>
      </c>
      <c r="G296" s="29">
        <v>0.54166666666666663</v>
      </c>
      <c r="H296" s="29">
        <v>0.58333333333333337</v>
      </c>
      <c r="I296" s="29">
        <v>0.79166666666666663</v>
      </c>
      <c r="J296" s="30">
        <f t="shared" si="70"/>
        <v>10.999999999999996</v>
      </c>
      <c r="K296" s="32">
        <f t="shared" si="72"/>
        <v>2.9999999999999964</v>
      </c>
      <c r="L296" s="33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3.25" x14ac:dyDescent="0.35">
      <c r="A297" s="149"/>
      <c r="B297" s="146"/>
      <c r="C297" s="146"/>
      <c r="D297" s="27"/>
      <c r="E297" s="28"/>
      <c r="F297" s="28"/>
      <c r="G297" s="28"/>
      <c r="H297" s="26"/>
      <c r="I297" s="34" t="s">
        <v>298</v>
      </c>
      <c r="J297" s="35">
        <v>800</v>
      </c>
      <c r="K297" s="34"/>
      <c r="L297" s="3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3.25" x14ac:dyDescent="0.35">
      <c r="A298" s="149"/>
      <c r="B298" s="146"/>
      <c r="C298" s="146"/>
      <c r="D298" s="27"/>
      <c r="E298" s="28"/>
      <c r="F298" s="28"/>
      <c r="G298" s="28"/>
      <c r="H298" s="37"/>
      <c r="I298" s="34" t="s">
        <v>299</v>
      </c>
      <c r="J298" s="74">
        <f>J297*(COUNTIF(J290:J296, "&gt;0.00"))</f>
        <v>4800</v>
      </c>
      <c r="K298" s="74">
        <f>(J297/8)*(SUM(K290:K296))</f>
        <v>1466.6666666666649</v>
      </c>
      <c r="L298" s="75">
        <f>SUM(L290:L296)</f>
        <v>0</v>
      </c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3.25" x14ac:dyDescent="0.35">
      <c r="A299" s="150"/>
      <c r="B299" s="147"/>
      <c r="C299" s="147"/>
      <c r="D299" s="38"/>
      <c r="E299" s="39"/>
      <c r="F299" s="39"/>
      <c r="G299" s="39"/>
      <c r="H299" s="40"/>
      <c r="I299" s="41" t="s">
        <v>300</v>
      </c>
      <c r="J299" s="76">
        <f>SUM(J298:K298)-L298</f>
        <v>6266.6666666666652</v>
      </c>
      <c r="K299" s="77"/>
      <c r="L299" s="78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3.25" x14ac:dyDescent="0.35">
      <c r="A300" s="43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44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46.5" x14ac:dyDescent="0.35">
      <c r="A301" s="22" t="s">
        <v>93</v>
      </c>
      <c r="B301" s="23" t="s">
        <v>94</v>
      </c>
      <c r="C301" s="23" t="s">
        <v>1</v>
      </c>
      <c r="D301" s="24" t="s">
        <v>284</v>
      </c>
      <c r="E301" s="24" t="s">
        <v>285</v>
      </c>
      <c r="F301" s="24" t="s">
        <v>286</v>
      </c>
      <c r="G301" s="24" t="s">
        <v>287</v>
      </c>
      <c r="H301" s="24" t="s">
        <v>286</v>
      </c>
      <c r="I301" s="24" t="s">
        <v>287</v>
      </c>
      <c r="J301" s="24" t="s">
        <v>288</v>
      </c>
      <c r="K301" s="24" t="s">
        <v>234</v>
      </c>
      <c r="L301" s="25" t="s">
        <v>302</v>
      </c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3.25" x14ac:dyDescent="0.35">
      <c r="A302" s="148" t="s">
        <v>219</v>
      </c>
      <c r="B302" s="145" t="s">
        <v>118</v>
      </c>
      <c r="C302" s="145" t="s">
        <v>16</v>
      </c>
      <c r="D302" s="27">
        <v>46100</v>
      </c>
      <c r="E302" s="28" t="s">
        <v>291</v>
      </c>
      <c r="F302" s="29">
        <v>0.29166666666666669</v>
      </c>
      <c r="G302" s="29">
        <v>0.54166666666666663</v>
      </c>
      <c r="H302" s="29">
        <v>0.58333333333333337</v>
      </c>
      <c r="I302" s="29">
        <v>0.75347222222222221</v>
      </c>
      <c r="J302" s="30">
        <f t="shared" ref="J302:J308" si="73">(((I302-H302)+(G302-F302))*24)</f>
        <v>10.08333333333333</v>
      </c>
      <c r="K302" s="30">
        <f t="shared" ref="K302:K304" si="74">J302-8</f>
        <v>2.0833333333333304</v>
      </c>
      <c r="L302" s="31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3.25" x14ac:dyDescent="0.35">
      <c r="A303" s="149"/>
      <c r="B303" s="146"/>
      <c r="C303" s="146"/>
      <c r="D303" s="27">
        <v>46101</v>
      </c>
      <c r="E303" s="28" t="s">
        <v>292</v>
      </c>
      <c r="F303" s="29">
        <v>0.2902777777777778</v>
      </c>
      <c r="G303" s="29">
        <v>0.54166666666666663</v>
      </c>
      <c r="H303" s="29">
        <v>0.58333333333333337</v>
      </c>
      <c r="I303" s="29">
        <v>0.75347222222222221</v>
      </c>
      <c r="J303" s="30">
        <f t="shared" si="73"/>
        <v>10.116666666666664</v>
      </c>
      <c r="K303" s="30">
        <f t="shared" si="74"/>
        <v>2.1166666666666636</v>
      </c>
      <c r="L303" s="31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3.25" x14ac:dyDescent="0.35">
      <c r="A304" s="149"/>
      <c r="B304" s="146"/>
      <c r="C304" s="146"/>
      <c r="D304" s="27">
        <v>46102</v>
      </c>
      <c r="E304" s="28" t="s">
        <v>293</v>
      </c>
      <c r="F304" s="29">
        <v>0.29166666666666669</v>
      </c>
      <c r="G304" s="29">
        <v>0.54166666666666663</v>
      </c>
      <c r="H304" s="29">
        <v>0.58333333333333337</v>
      </c>
      <c r="I304" s="29">
        <v>0.76388888888888884</v>
      </c>
      <c r="J304" s="30">
        <f t="shared" si="73"/>
        <v>10.33333333333333</v>
      </c>
      <c r="K304" s="30">
        <f t="shared" si="74"/>
        <v>2.3333333333333304</v>
      </c>
      <c r="L304" s="31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3.25" x14ac:dyDescent="0.35">
      <c r="A305" s="149"/>
      <c r="B305" s="146"/>
      <c r="C305" s="146"/>
      <c r="D305" s="27">
        <v>46103</v>
      </c>
      <c r="E305" s="28" t="s">
        <v>294</v>
      </c>
      <c r="F305" s="29"/>
      <c r="G305" s="29"/>
      <c r="H305" s="29"/>
      <c r="I305" s="29"/>
      <c r="J305" s="30">
        <f t="shared" si="73"/>
        <v>0</v>
      </c>
      <c r="K305" s="28"/>
      <c r="L305" s="31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3.25" x14ac:dyDescent="0.35">
      <c r="A306" s="149"/>
      <c r="B306" s="146"/>
      <c r="C306" s="146"/>
      <c r="D306" s="27">
        <v>46104</v>
      </c>
      <c r="E306" s="28" t="s">
        <v>295</v>
      </c>
      <c r="F306" s="29">
        <v>0.29166666666666669</v>
      </c>
      <c r="G306" s="29">
        <v>0.54166666666666663</v>
      </c>
      <c r="H306" s="29">
        <v>0.58333333333333337</v>
      </c>
      <c r="I306" s="29">
        <v>0.75694444444444442</v>
      </c>
      <c r="J306" s="30">
        <f t="shared" si="73"/>
        <v>10.166666666666664</v>
      </c>
      <c r="K306" s="30">
        <f t="shared" ref="K306:K308" si="75">J306-8</f>
        <v>2.1666666666666643</v>
      </c>
      <c r="L306" s="31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3.25" x14ac:dyDescent="0.35">
      <c r="A307" s="149"/>
      <c r="B307" s="146"/>
      <c r="C307" s="146"/>
      <c r="D307" s="27">
        <v>46105</v>
      </c>
      <c r="E307" s="28" t="s">
        <v>296</v>
      </c>
      <c r="F307" s="29">
        <v>0.29166666666666669</v>
      </c>
      <c r="G307" s="29">
        <v>0.54166666666666663</v>
      </c>
      <c r="H307" s="29">
        <v>0.58333333333333337</v>
      </c>
      <c r="I307" s="29">
        <v>0.79166666666666663</v>
      </c>
      <c r="J307" s="30">
        <f t="shared" si="73"/>
        <v>10.999999999999996</v>
      </c>
      <c r="K307" s="30">
        <f t="shared" si="75"/>
        <v>2.9999999999999964</v>
      </c>
      <c r="L307" s="31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3.25" x14ac:dyDescent="0.35">
      <c r="A308" s="149"/>
      <c r="B308" s="146"/>
      <c r="C308" s="146"/>
      <c r="D308" s="27">
        <v>46106</v>
      </c>
      <c r="E308" s="28" t="s">
        <v>297</v>
      </c>
      <c r="F308" s="29">
        <v>0.29166666666666669</v>
      </c>
      <c r="G308" s="29">
        <v>0.54166666666666663</v>
      </c>
      <c r="H308" s="29">
        <v>0.58333333333333337</v>
      </c>
      <c r="I308" s="29">
        <v>0.79166666666666663</v>
      </c>
      <c r="J308" s="30">
        <f t="shared" si="73"/>
        <v>10.999999999999996</v>
      </c>
      <c r="K308" s="32">
        <f t="shared" si="75"/>
        <v>2.9999999999999964</v>
      </c>
      <c r="L308" s="33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3.25" x14ac:dyDescent="0.35">
      <c r="A309" s="149"/>
      <c r="B309" s="146"/>
      <c r="C309" s="146"/>
      <c r="D309" s="27"/>
      <c r="E309" s="28"/>
      <c r="F309" s="28"/>
      <c r="G309" s="28"/>
      <c r="H309" s="26"/>
      <c r="I309" s="34" t="s">
        <v>298</v>
      </c>
      <c r="J309" s="35">
        <v>1100</v>
      </c>
      <c r="K309" s="34"/>
      <c r="L309" s="3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3.25" x14ac:dyDescent="0.35">
      <c r="A310" s="149"/>
      <c r="B310" s="146"/>
      <c r="C310" s="146"/>
      <c r="D310" s="27"/>
      <c r="E310" s="28"/>
      <c r="F310" s="28"/>
      <c r="G310" s="28"/>
      <c r="H310" s="37"/>
      <c r="I310" s="34" t="s">
        <v>299</v>
      </c>
      <c r="J310" s="74">
        <f>J309*(COUNTIF(J302:J308, "&gt;0.00"))</f>
        <v>6600</v>
      </c>
      <c r="K310" s="74">
        <f>(J309/8)*(SUM(K302:K308))</f>
        <v>2021.2499999999975</v>
      </c>
      <c r="L310" s="75">
        <f>SUM(L302:L308)</f>
        <v>0</v>
      </c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3.25" x14ac:dyDescent="0.35">
      <c r="A311" s="150"/>
      <c r="B311" s="147"/>
      <c r="C311" s="147"/>
      <c r="D311" s="38"/>
      <c r="E311" s="39"/>
      <c r="F311" s="39"/>
      <c r="G311" s="39"/>
      <c r="H311" s="40"/>
      <c r="I311" s="41" t="s">
        <v>300</v>
      </c>
      <c r="J311" s="76">
        <f>SUM(J310:K310)-L310</f>
        <v>8621.2499999999982</v>
      </c>
      <c r="K311" s="77"/>
      <c r="L311" s="78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3.25" x14ac:dyDescent="0.35">
      <c r="A312" s="43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44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46.5" x14ac:dyDescent="0.35">
      <c r="A313" s="79" t="s">
        <v>93</v>
      </c>
      <c r="B313" s="23" t="s">
        <v>94</v>
      </c>
      <c r="C313" s="23" t="s">
        <v>1</v>
      </c>
      <c r="D313" s="24" t="s">
        <v>284</v>
      </c>
      <c r="E313" s="24" t="s">
        <v>285</v>
      </c>
      <c r="F313" s="24" t="s">
        <v>286</v>
      </c>
      <c r="G313" s="24" t="s">
        <v>287</v>
      </c>
      <c r="H313" s="24" t="s">
        <v>286</v>
      </c>
      <c r="I313" s="24" t="s">
        <v>287</v>
      </c>
      <c r="J313" s="24" t="s">
        <v>288</v>
      </c>
      <c r="K313" s="24" t="s">
        <v>234</v>
      </c>
      <c r="L313" s="80" t="s">
        <v>302</v>
      </c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3.25" x14ac:dyDescent="0.35">
      <c r="A314" s="148" t="s">
        <v>242</v>
      </c>
      <c r="B314" s="151" t="s">
        <v>119</v>
      </c>
      <c r="C314" s="145" t="s">
        <v>110</v>
      </c>
      <c r="D314" s="27">
        <v>46100</v>
      </c>
      <c r="E314" s="28" t="s">
        <v>291</v>
      </c>
      <c r="F314" s="29">
        <v>0.35416666666666669</v>
      </c>
      <c r="G314" s="29">
        <v>0.54166666666666663</v>
      </c>
      <c r="H314" s="29">
        <v>0.58333333333333337</v>
      </c>
      <c r="I314" s="29">
        <v>0.72916666666666663</v>
      </c>
      <c r="J314" s="30">
        <f t="shared" ref="J314:J320" si="76">(((I314-H314)+(G314-F314))*24)</f>
        <v>7.9999999999999964</v>
      </c>
      <c r="K314" s="30">
        <f t="shared" ref="K314:K316" si="77">J314-8</f>
        <v>0</v>
      </c>
      <c r="L314" s="81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3.25" x14ac:dyDescent="0.35">
      <c r="A315" s="149"/>
      <c r="B315" s="146"/>
      <c r="C315" s="146"/>
      <c r="D315" s="27">
        <v>46101</v>
      </c>
      <c r="E315" s="28" t="s">
        <v>292</v>
      </c>
      <c r="F315" s="29">
        <v>0.35416666666666669</v>
      </c>
      <c r="G315" s="29">
        <v>0.54166666666666663</v>
      </c>
      <c r="H315" s="29">
        <v>0.58333333333333337</v>
      </c>
      <c r="I315" s="29">
        <v>0.72916666666666663</v>
      </c>
      <c r="J315" s="30">
        <f t="shared" si="76"/>
        <v>7.9999999999999964</v>
      </c>
      <c r="K315" s="30">
        <f t="shared" si="77"/>
        <v>0</v>
      </c>
      <c r="L315" s="81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3.25" x14ac:dyDescent="0.35">
      <c r="A316" s="149"/>
      <c r="B316" s="146"/>
      <c r="C316" s="146"/>
      <c r="D316" s="27">
        <v>46102</v>
      </c>
      <c r="E316" s="28" t="s">
        <v>293</v>
      </c>
      <c r="F316" s="29">
        <v>0.35416666666666669</v>
      </c>
      <c r="G316" s="29">
        <v>0.54166666666666663</v>
      </c>
      <c r="H316" s="29">
        <v>0.58333333333333337</v>
      </c>
      <c r="I316" s="29">
        <v>0.72916666666666663</v>
      </c>
      <c r="J316" s="30">
        <f t="shared" si="76"/>
        <v>7.9999999999999964</v>
      </c>
      <c r="K316" s="30">
        <f t="shared" si="77"/>
        <v>0</v>
      </c>
      <c r="L316" s="81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3.25" x14ac:dyDescent="0.35">
      <c r="A317" s="149"/>
      <c r="B317" s="146"/>
      <c r="C317" s="146"/>
      <c r="D317" s="27">
        <v>46103</v>
      </c>
      <c r="E317" s="28" t="s">
        <v>294</v>
      </c>
      <c r="F317" s="29"/>
      <c r="G317" s="29"/>
      <c r="H317" s="29"/>
      <c r="I317" s="29"/>
      <c r="J317" s="30">
        <f t="shared" si="76"/>
        <v>0</v>
      </c>
      <c r="K317" s="28"/>
      <c r="L317" s="81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3.25" x14ac:dyDescent="0.35">
      <c r="A318" s="149"/>
      <c r="B318" s="146"/>
      <c r="C318" s="146"/>
      <c r="D318" s="27">
        <v>46104</v>
      </c>
      <c r="E318" s="28" t="s">
        <v>295</v>
      </c>
      <c r="F318" s="29">
        <v>0.35416666666666669</v>
      </c>
      <c r="G318" s="29">
        <v>0.54166666666666663</v>
      </c>
      <c r="H318" s="29">
        <v>0.58333333333333337</v>
      </c>
      <c r="I318" s="29">
        <v>0.72916666666666663</v>
      </c>
      <c r="J318" s="30">
        <f t="shared" si="76"/>
        <v>7.9999999999999964</v>
      </c>
      <c r="K318" s="30">
        <f t="shared" ref="K318:K320" si="78">J318-8</f>
        <v>0</v>
      </c>
      <c r="L318" s="81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3.25" x14ac:dyDescent="0.35">
      <c r="A319" s="149"/>
      <c r="B319" s="146"/>
      <c r="C319" s="146"/>
      <c r="D319" s="27">
        <v>46105</v>
      </c>
      <c r="E319" s="28" t="s">
        <v>296</v>
      </c>
      <c r="F319" s="29">
        <v>0.35416666666666669</v>
      </c>
      <c r="G319" s="29">
        <v>0.54166666666666663</v>
      </c>
      <c r="H319" s="29">
        <v>0.58333333333333337</v>
      </c>
      <c r="I319" s="29">
        <v>0.72916666666666663</v>
      </c>
      <c r="J319" s="30">
        <f t="shared" si="76"/>
        <v>7.9999999999999964</v>
      </c>
      <c r="K319" s="30">
        <f t="shared" si="78"/>
        <v>0</v>
      </c>
      <c r="L319" s="81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3.25" x14ac:dyDescent="0.35">
      <c r="A320" s="149"/>
      <c r="B320" s="146"/>
      <c r="C320" s="146"/>
      <c r="D320" s="27">
        <v>46106</v>
      </c>
      <c r="E320" s="28" t="s">
        <v>297</v>
      </c>
      <c r="F320" s="29">
        <v>0.35416666666666669</v>
      </c>
      <c r="G320" s="29">
        <v>0.54166666666666663</v>
      </c>
      <c r="H320" s="29">
        <v>0.58333333333333337</v>
      </c>
      <c r="I320" s="29">
        <v>0.72916666666666663</v>
      </c>
      <c r="J320" s="30">
        <f t="shared" si="76"/>
        <v>7.9999999999999964</v>
      </c>
      <c r="K320" s="32">
        <f t="shared" si="78"/>
        <v>0</v>
      </c>
      <c r="L320" s="82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3.25" x14ac:dyDescent="0.35">
      <c r="A321" s="149"/>
      <c r="B321" s="146"/>
      <c r="C321" s="146"/>
      <c r="D321" s="27"/>
      <c r="E321" s="28"/>
      <c r="F321" s="28"/>
      <c r="G321" s="28"/>
      <c r="H321" s="26"/>
      <c r="I321" s="34" t="s">
        <v>298</v>
      </c>
      <c r="J321" s="35">
        <v>1000</v>
      </c>
      <c r="K321" s="34"/>
      <c r="L321" s="34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3.25" x14ac:dyDescent="0.35">
      <c r="A322" s="149"/>
      <c r="B322" s="146"/>
      <c r="C322" s="146"/>
      <c r="D322" s="27"/>
      <c r="E322" s="28"/>
      <c r="F322" s="28"/>
      <c r="G322" s="28"/>
      <c r="H322" s="37"/>
      <c r="I322" s="34" t="s">
        <v>299</v>
      </c>
      <c r="J322" s="35">
        <f>J321*(COUNTIF(J314:J320, "&gt;0.00"))</f>
        <v>6000</v>
      </c>
      <c r="K322" s="35">
        <f>(J321/8)*(SUM(K314:K320))</f>
        <v>0</v>
      </c>
      <c r="L322" s="34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3.25" x14ac:dyDescent="0.35">
      <c r="A323" s="150"/>
      <c r="B323" s="147"/>
      <c r="C323" s="147"/>
      <c r="D323" s="38"/>
      <c r="E323" s="39"/>
      <c r="F323" s="39"/>
      <c r="G323" s="39"/>
      <c r="H323" s="40"/>
      <c r="I323" s="41" t="s">
        <v>300</v>
      </c>
      <c r="J323" s="42">
        <f>SUM(J322:K322)</f>
        <v>6000</v>
      </c>
      <c r="K323" s="34"/>
      <c r="L323" s="34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3.25" x14ac:dyDescent="0.3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46.5" x14ac:dyDescent="0.35">
      <c r="A325" s="79" t="s">
        <v>93</v>
      </c>
      <c r="B325" s="23" t="s">
        <v>94</v>
      </c>
      <c r="C325" s="23" t="s">
        <v>1</v>
      </c>
      <c r="D325" s="24" t="s">
        <v>284</v>
      </c>
      <c r="E325" s="24" t="s">
        <v>285</v>
      </c>
      <c r="F325" s="24" t="s">
        <v>286</v>
      </c>
      <c r="G325" s="24" t="s">
        <v>287</v>
      </c>
      <c r="H325" s="24" t="s">
        <v>286</v>
      </c>
      <c r="I325" s="24" t="s">
        <v>287</v>
      </c>
      <c r="J325" s="24" t="s">
        <v>288</v>
      </c>
      <c r="K325" s="24" t="s">
        <v>234</v>
      </c>
      <c r="L325" s="80" t="s">
        <v>302</v>
      </c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3.25" x14ac:dyDescent="0.35">
      <c r="A326" s="152" t="s">
        <v>244</v>
      </c>
      <c r="B326" s="151" t="s">
        <v>121</v>
      </c>
      <c r="C326" s="145" t="s">
        <v>110</v>
      </c>
      <c r="D326" s="27">
        <v>46100</v>
      </c>
      <c r="E326" s="28" t="s">
        <v>291</v>
      </c>
      <c r="F326" s="29">
        <v>0.35416666666666669</v>
      </c>
      <c r="G326" s="29">
        <v>0.54166666666666663</v>
      </c>
      <c r="H326" s="29">
        <v>0.58333333333333337</v>
      </c>
      <c r="I326" s="29">
        <v>0.72916666666666663</v>
      </c>
      <c r="J326" s="30">
        <f t="shared" ref="J326:J332" si="79">(((I326-H326)+(G326-F326))*24)</f>
        <v>7.9999999999999964</v>
      </c>
      <c r="K326" s="30">
        <f t="shared" ref="K326:K328" si="80">J326-8</f>
        <v>0</v>
      </c>
      <c r="L326" s="81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3.25" x14ac:dyDescent="0.35">
      <c r="A327" s="149"/>
      <c r="B327" s="146"/>
      <c r="C327" s="146"/>
      <c r="D327" s="27">
        <v>46101</v>
      </c>
      <c r="E327" s="28" t="s">
        <v>292</v>
      </c>
      <c r="F327" s="29">
        <v>0.35416666666666669</v>
      </c>
      <c r="G327" s="29">
        <v>0.54166666666666663</v>
      </c>
      <c r="H327" s="29">
        <v>0.58333333333333337</v>
      </c>
      <c r="I327" s="29">
        <v>0.72916666666666663</v>
      </c>
      <c r="J327" s="30">
        <f t="shared" si="79"/>
        <v>7.9999999999999964</v>
      </c>
      <c r="K327" s="30">
        <f t="shared" si="80"/>
        <v>0</v>
      </c>
      <c r="L327" s="81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3.25" x14ac:dyDescent="0.35">
      <c r="A328" s="149"/>
      <c r="B328" s="146"/>
      <c r="C328" s="146"/>
      <c r="D328" s="27">
        <v>46102</v>
      </c>
      <c r="E328" s="28" t="s">
        <v>293</v>
      </c>
      <c r="F328" s="29">
        <v>0.35416666666666669</v>
      </c>
      <c r="G328" s="29">
        <v>0.54166666666666663</v>
      </c>
      <c r="H328" s="29">
        <v>0.58333333333333337</v>
      </c>
      <c r="I328" s="29">
        <v>0.72916666666666663</v>
      </c>
      <c r="J328" s="30">
        <f t="shared" si="79"/>
        <v>7.9999999999999964</v>
      </c>
      <c r="K328" s="30">
        <f t="shared" si="80"/>
        <v>0</v>
      </c>
      <c r="L328" s="81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3.25" x14ac:dyDescent="0.35">
      <c r="A329" s="149"/>
      <c r="B329" s="146"/>
      <c r="C329" s="146"/>
      <c r="D329" s="27">
        <v>46103</v>
      </c>
      <c r="E329" s="28" t="s">
        <v>294</v>
      </c>
      <c r="F329" s="29"/>
      <c r="G329" s="29"/>
      <c r="H329" s="29"/>
      <c r="I329" s="29"/>
      <c r="J329" s="30">
        <f t="shared" si="79"/>
        <v>0</v>
      </c>
      <c r="K329" s="28"/>
      <c r="L329" s="81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3.25" x14ac:dyDescent="0.35">
      <c r="A330" s="149"/>
      <c r="B330" s="146"/>
      <c r="C330" s="146"/>
      <c r="D330" s="27">
        <v>46104</v>
      </c>
      <c r="E330" s="28" t="s">
        <v>295</v>
      </c>
      <c r="F330" s="29">
        <v>0.35416666666666669</v>
      </c>
      <c r="G330" s="29">
        <v>0.54166666666666663</v>
      </c>
      <c r="H330" s="29">
        <v>0.58333333333333337</v>
      </c>
      <c r="I330" s="29">
        <v>0.72916666666666663</v>
      </c>
      <c r="J330" s="30">
        <f t="shared" si="79"/>
        <v>7.9999999999999964</v>
      </c>
      <c r="K330" s="30">
        <f>J330-8</f>
        <v>0</v>
      </c>
      <c r="L330" s="81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3.25" x14ac:dyDescent="0.35">
      <c r="A331" s="149"/>
      <c r="B331" s="146"/>
      <c r="C331" s="146"/>
      <c r="D331" s="27">
        <v>46105</v>
      </c>
      <c r="E331" s="28" t="s">
        <v>296</v>
      </c>
      <c r="F331" s="29"/>
      <c r="G331" s="29"/>
      <c r="H331" s="29"/>
      <c r="I331" s="29"/>
      <c r="J331" s="30">
        <f t="shared" si="79"/>
        <v>0</v>
      </c>
      <c r="K331" s="28"/>
      <c r="L331" s="81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3.25" x14ac:dyDescent="0.35">
      <c r="A332" s="149"/>
      <c r="B332" s="146"/>
      <c r="C332" s="146"/>
      <c r="D332" s="27">
        <v>46106</v>
      </c>
      <c r="E332" s="28" t="s">
        <v>297</v>
      </c>
      <c r="F332" s="29">
        <v>0.35416666666666669</v>
      </c>
      <c r="G332" s="29">
        <v>0.54166666666666663</v>
      </c>
      <c r="H332" s="29">
        <v>0.58333333333333337</v>
      </c>
      <c r="I332" s="29">
        <v>0.72916666666666663</v>
      </c>
      <c r="J332" s="30">
        <f t="shared" si="79"/>
        <v>7.9999999999999964</v>
      </c>
      <c r="K332" s="32">
        <f>J332-8</f>
        <v>0</v>
      </c>
      <c r="L332" s="82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3.25" x14ac:dyDescent="0.35">
      <c r="A333" s="149"/>
      <c r="B333" s="146"/>
      <c r="C333" s="146"/>
      <c r="D333" s="27"/>
      <c r="E333" s="28"/>
      <c r="F333" s="28"/>
      <c r="G333" s="28"/>
      <c r="H333" s="26"/>
      <c r="I333" s="34" t="s">
        <v>298</v>
      </c>
      <c r="J333" s="35">
        <v>1000</v>
      </c>
      <c r="K333" s="34"/>
      <c r="L333" s="34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3.25" x14ac:dyDescent="0.35">
      <c r="A334" s="149"/>
      <c r="B334" s="146"/>
      <c r="C334" s="146"/>
      <c r="D334" s="27"/>
      <c r="E334" s="28"/>
      <c r="F334" s="28"/>
      <c r="G334" s="28"/>
      <c r="H334" s="37"/>
      <c r="I334" s="34" t="s">
        <v>299</v>
      </c>
      <c r="J334" s="35">
        <f>J333*(COUNTIF(J326:J332, "&gt;0.00"))</f>
        <v>5000</v>
      </c>
      <c r="K334" s="35">
        <f>(J333/8)*(SUM(K326:K332))</f>
        <v>0</v>
      </c>
      <c r="L334" s="34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3.25" x14ac:dyDescent="0.35">
      <c r="A335" s="150"/>
      <c r="B335" s="147"/>
      <c r="C335" s="147"/>
      <c r="D335" s="38"/>
      <c r="E335" s="39"/>
      <c r="F335" s="39"/>
      <c r="G335" s="39"/>
      <c r="H335" s="40"/>
      <c r="I335" s="41" t="s">
        <v>300</v>
      </c>
      <c r="J335" s="42">
        <f>SUM(J334:K334)</f>
        <v>5000</v>
      </c>
      <c r="K335" s="34"/>
      <c r="L335" s="34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3.25" x14ac:dyDescent="0.35">
      <c r="A336" s="43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44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46.5" x14ac:dyDescent="0.35">
      <c r="A337" s="79" t="s">
        <v>93</v>
      </c>
      <c r="B337" s="23" t="s">
        <v>94</v>
      </c>
      <c r="C337" s="23" t="s">
        <v>1</v>
      </c>
      <c r="D337" s="24" t="s">
        <v>284</v>
      </c>
      <c r="E337" s="24" t="s">
        <v>285</v>
      </c>
      <c r="F337" s="24" t="s">
        <v>286</v>
      </c>
      <c r="G337" s="24" t="s">
        <v>287</v>
      </c>
      <c r="H337" s="24" t="s">
        <v>286</v>
      </c>
      <c r="I337" s="24" t="s">
        <v>287</v>
      </c>
      <c r="J337" s="24" t="s">
        <v>288</v>
      </c>
      <c r="K337" s="24" t="s">
        <v>234</v>
      </c>
      <c r="L337" s="80" t="s">
        <v>302</v>
      </c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3.25" x14ac:dyDescent="0.35">
      <c r="A338" s="152" t="s">
        <v>246</v>
      </c>
      <c r="B338" s="151" t="s">
        <v>122</v>
      </c>
      <c r="C338" s="145" t="s">
        <v>111</v>
      </c>
      <c r="D338" s="27">
        <v>46100</v>
      </c>
      <c r="E338" s="28" t="s">
        <v>291</v>
      </c>
      <c r="F338" s="29"/>
      <c r="G338" s="29"/>
      <c r="H338" s="29"/>
      <c r="I338" s="29"/>
      <c r="J338" s="30">
        <f t="shared" ref="J338:J344" si="81">(((I338-H338)+(G338-F338))*24)</f>
        <v>0</v>
      </c>
      <c r="K338" s="28"/>
      <c r="L338" s="81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3.25" x14ac:dyDescent="0.35">
      <c r="A339" s="149"/>
      <c r="B339" s="146"/>
      <c r="C339" s="146"/>
      <c r="D339" s="27">
        <v>46101</v>
      </c>
      <c r="E339" s="28" t="s">
        <v>292</v>
      </c>
      <c r="F339" s="29"/>
      <c r="G339" s="29"/>
      <c r="H339" s="29"/>
      <c r="I339" s="29"/>
      <c r="J339" s="30">
        <f t="shared" si="81"/>
        <v>0</v>
      </c>
      <c r="K339" s="28"/>
      <c r="L339" s="81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3.25" x14ac:dyDescent="0.35">
      <c r="A340" s="149"/>
      <c r="B340" s="146"/>
      <c r="C340" s="146"/>
      <c r="D340" s="27">
        <v>46102</v>
      </c>
      <c r="E340" s="28" t="s">
        <v>293</v>
      </c>
      <c r="F340" s="29"/>
      <c r="G340" s="29"/>
      <c r="H340" s="29"/>
      <c r="I340" s="29"/>
      <c r="J340" s="30">
        <f t="shared" si="81"/>
        <v>0</v>
      </c>
      <c r="K340" s="28"/>
      <c r="L340" s="81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3.25" x14ac:dyDescent="0.35">
      <c r="A341" s="149"/>
      <c r="B341" s="146"/>
      <c r="C341" s="146"/>
      <c r="D341" s="27">
        <v>46103</v>
      </c>
      <c r="E341" s="28" t="s">
        <v>294</v>
      </c>
      <c r="F341" s="29"/>
      <c r="G341" s="29"/>
      <c r="H341" s="29"/>
      <c r="I341" s="29"/>
      <c r="J341" s="30">
        <f t="shared" si="81"/>
        <v>0</v>
      </c>
      <c r="K341" s="28"/>
      <c r="L341" s="81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3.25" x14ac:dyDescent="0.35">
      <c r="A342" s="149"/>
      <c r="B342" s="146"/>
      <c r="C342" s="146"/>
      <c r="D342" s="27">
        <v>46104</v>
      </c>
      <c r="E342" s="28" t="s">
        <v>295</v>
      </c>
      <c r="F342" s="29">
        <v>0.35416666666666669</v>
      </c>
      <c r="G342" s="29">
        <v>0.54166666666666663</v>
      </c>
      <c r="H342" s="29">
        <v>0.58333333333333337</v>
      </c>
      <c r="I342" s="29">
        <v>0.72916666666666663</v>
      </c>
      <c r="J342" s="30">
        <f t="shared" si="81"/>
        <v>7.9999999999999964</v>
      </c>
      <c r="K342" s="30">
        <f t="shared" ref="K342:K344" si="82">J342-8</f>
        <v>0</v>
      </c>
      <c r="L342" s="81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3.25" x14ac:dyDescent="0.35">
      <c r="A343" s="149"/>
      <c r="B343" s="146"/>
      <c r="C343" s="146"/>
      <c r="D343" s="27">
        <v>46105</v>
      </c>
      <c r="E343" s="28" t="s">
        <v>296</v>
      </c>
      <c r="F343" s="29">
        <v>0.35416666666666669</v>
      </c>
      <c r="G343" s="29">
        <v>0.54166666666666663</v>
      </c>
      <c r="H343" s="29">
        <v>0.58333333333333337</v>
      </c>
      <c r="I343" s="29">
        <v>0.72916666666666663</v>
      </c>
      <c r="J343" s="30">
        <f t="shared" si="81"/>
        <v>7.9999999999999964</v>
      </c>
      <c r="K343" s="30">
        <f t="shared" si="82"/>
        <v>0</v>
      </c>
      <c r="L343" s="81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3.25" x14ac:dyDescent="0.35">
      <c r="A344" s="149"/>
      <c r="B344" s="146"/>
      <c r="C344" s="146"/>
      <c r="D344" s="27">
        <v>46106</v>
      </c>
      <c r="E344" s="28" t="s">
        <v>297</v>
      </c>
      <c r="F344" s="29">
        <v>0.35416666666666669</v>
      </c>
      <c r="G344" s="29">
        <v>0.54166666666666663</v>
      </c>
      <c r="H344" s="29">
        <v>0.58333333333333337</v>
      </c>
      <c r="I344" s="29">
        <v>0.72916666666666663</v>
      </c>
      <c r="J344" s="30">
        <f t="shared" si="81"/>
        <v>7.9999999999999964</v>
      </c>
      <c r="K344" s="32">
        <f t="shared" si="82"/>
        <v>0</v>
      </c>
      <c r="L344" s="82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3.25" x14ac:dyDescent="0.35">
      <c r="A345" s="149"/>
      <c r="B345" s="146"/>
      <c r="C345" s="146"/>
      <c r="D345" s="27"/>
      <c r="E345" s="28"/>
      <c r="F345" s="28"/>
      <c r="G345" s="28"/>
      <c r="H345" s="26"/>
      <c r="I345" s="34" t="s">
        <v>298</v>
      </c>
      <c r="J345" s="35">
        <v>800</v>
      </c>
      <c r="K345" s="34"/>
      <c r="L345" s="34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3.25" x14ac:dyDescent="0.35">
      <c r="A346" s="149"/>
      <c r="B346" s="146"/>
      <c r="C346" s="146"/>
      <c r="D346" s="27"/>
      <c r="E346" s="28"/>
      <c r="F346" s="28"/>
      <c r="G346" s="28"/>
      <c r="H346" s="37"/>
      <c r="I346" s="34" t="s">
        <v>299</v>
      </c>
      <c r="J346" s="35">
        <f>J345*(COUNTIF(J338:J344, "&gt;0.00"))</f>
        <v>2400</v>
      </c>
      <c r="K346" s="35">
        <f>(J345/8)*(SUM(K338:K344))</f>
        <v>0</v>
      </c>
      <c r="L346" s="34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3.25" x14ac:dyDescent="0.35">
      <c r="A347" s="150"/>
      <c r="B347" s="147"/>
      <c r="C347" s="147"/>
      <c r="D347" s="38"/>
      <c r="E347" s="39"/>
      <c r="F347" s="39"/>
      <c r="G347" s="39"/>
      <c r="H347" s="40"/>
      <c r="I347" s="41" t="s">
        <v>300</v>
      </c>
      <c r="J347" s="42">
        <f>SUM(J346:K346)</f>
        <v>2400</v>
      </c>
      <c r="K347" s="34"/>
      <c r="L347" s="34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3.25" x14ac:dyDescent="0.35">
      <c r="A348" s="68"/>
      <c r="B348" s="67"/>
      <c r="C348" s="67"/>
      <c r="D348" s="68"/>
      <c r="E348" s="68"/>
      <c r="F348" s="68"/>
      <c r="G348" s="68"/>
      <c r="H348" s="68"/>
      <c r="I348" s="68"/>
      <c r="J348" s="68"/>
      <c r="K348" s="68"/>
      <c r="L348" s="68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46.5" x14ac:dyDescent="0.35">
      <c r="A349" s="79" t="s">
        <v>93</v>
      </c>
      <c r="B349" s="23" t="s">
        <v>94</v>
      </c>
      <c r="C349" s="23" t="s">
        <v>1</v>
      </c>
      <c r="D349" s="24" t="s">
        <v>284</v>
      </c>
      <c r="E349" s="24" t="s">
        <v>285</v>
      </c>
      <c r="F349" s="24" t="s">
        <v>286</v>
      </c>
      <c r="G349" s="24" t="s">
        <v>287</v>
      </c>
      <c r="H349" s="24" t="s">
        <v>286</v>
      </c>
      <c r="I349" s="24" t="s">
        <v>287</v>
      </c>
      <c r="J349" s="24" t="s">
        <v>288</v>
      </c>
      <c r="K349" s="24" t="s">
        <v>234</v>
      </c>
      <c r="L349" s="80" t="s">
        <v>302</v>
      </c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3.25" x14ac:dyDescent="0.35">
      <c r="A350" s="152" t="s">
        <v>248</v>
      </c>
      <c r="B350" s="151" t="s">
        <v>135</v>
      </c>
      <c r="C350" s="145" t="s">
        <v>110</v>
      </c>
      <c r="D350" s="27">
        <v>46100</v>
      </c>
      <c r="E350" s="28" t="s">
        <v>291</v>
      </c>
      <c r="F350" s="29">
        <v>0.35416666666666669</v>
      </c>
      <c r="G350" s="29">
        <v>0.54166666666666663</v>
      </c>
      <c r="H350" s="29">
        <v>0.58333333333333337</v>
      </c>
      <c r="I350" s="29">
        <v>0.72916666666666663</v>
      </c>
      <c r="J350" s="30">
        <f t="shared" ref="J350:J356" si="83">(((I350-H350)+(G350-F350))*24)</f>
        <v>7.9999999999999964</v>
      </c>
      <c r="K350" s="30">
        <f t="shared" ref="K350:K352" si="84">J350-8</f>
        <v>0</v>
      </c>
      <c r="L350" s="81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3.25" x14ac:dyDescent="0.35">
      <c r="A351" s="149"/>
      <c r="B351" s="146"/>
      <c r="C351" s="146"/>
      <c r="D351" s="27">
        <v>46101</v>
      </c>
      <c r="E351" s="28" t="s">
        <v>292</v>
      </c>
      <c r="F351" s="29">
        <v>0.35416666666666669</v>
      </c>
      <c r="G351" s="29">
        <v>0.54166666666666663</v>
      </c>
      <c r="H351" s="29">
        <v>0.58333333333333337</v>
      </c>
      <c r="I351" s="29">
        <v>0.72916666666666663</v>
      </c>
      <c r="J351" s="30">
        <f t="shared" si="83"/>
        <v>7.9999999999999964</v>
      </c>
      <c r="K351" s="30">
        <f t="shared" si="84"/>
        <v>0</v>
      </c>
      <c r="L351" s="81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3.25" x14ac:dyDescent="0.35">
      <c r="A352" s="149"/>
      <c r="B352" s="146"/>
      <c r="C352" s="146"/>
      <c r="D352" s="27">
        <v>46102</v>
      </c>
      <c r="E352" s="28" t="s">
        <v>293</v>
      </c>
      <c r="F352" s="29">
        <v>0.35416666666666669</v>
      </c>
      <c r="G352" s="29">
        <v>0.54166666666666663</v>
      </c>
      <c r="H352" s="29">
        <v>0.58333333333333337</v>
      </c>
      <c r="I352" s="29">
        <v>0.72916666666666663</v>
      </c>
      <c r="J352" s="30">
        <f t="shared" si="83"/>
        <v>7.9999999999999964</v>
      </c>
      <c r="K352" s="30">
        <f t="shared" si="84"/>
        <v>0</v>
      </c>
      <c r="L352" s="81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3.25" x14ac:dyDescent="0.35">
      <c r="A353" s="149"/>
      <c r="B353" s="146"/>
      <c r="C353" s="146"/>
      <c r="D353" s="27">
        <v>46103</v>
      </c>
      <c r="E353" s="28" t="s">
        <v>294</v>
      </c>
      <c r="F353" s="29"/>
      <c r="G353" s="29"/>
      <c r="H353" s="29"/>
      <c r="I353" s="29"/>
      <c r="J353" s="30">
        <f t="shared" si="83"/>
        <v>0</v>
      </c>
      <c r="K353" s="28"/>
      <c r="L353" s="81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3.25" x14ac:dyDescent="0.35">
      <c r="A354" s="149"/>
      <c r="B354" s="146"/>
      <c r="C354" s="146"/>
      <c r="D354" s="27">
        <v>46104</v>
      </c>
      <c r="E354" s="28" t="s">
        <v>295</v>
      </c>
      <c r="F354" s="29">
        <v>0.35416666666666669</v>
      </c>
      <c r="G354" s="29">
        <v>0.54166666666666663</v>
      </c>
      <c r="H354" s="29">
        <v>0.58333333333333337</v>
      </c>
      <c r="I354" s="29">
        <v>0.72916666666666663</v>
      </c>
      <c r="J354" s="30">
        <f t="shared" si="83"/>
        <v>7.9999999999999964</v>
      </c>
      <c r="K354" s="30">
        <f t="shared" ref="K354:K356" si="85">J354-8</f>
        <v>0</v>
      </c>
      <c r="L354" s="81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3.25" x14ac:dyDescent="0.35">
      <c r="A355" s="149"/>
      <c r="B355" s="146"/>
      <c r="C355" s="146"/>
      <c r="D355" s="27">
        <v>46105</v>
      </c>
      <c r="E355" s="28" t="s">
        <v>296</v>
      </c>
      <c r="F355" s="29">
        <v>0.35416666666666669</v>
      </c>
      <c r="G355" s="29">
        <v>0.54166666666666663</v>
      </c>
      <c r="H355" s="29">
        <v>0.58333333333333337</v>
      </c>
      <c r="I355" s="29">
        <v>0.72916666666666663</v>
      </c>
      <c r="J355" s="30">
        <f t="shared" si="83"/>
        <v>7.9999999999999964</v>
      </c>
      <c r="K355" s="30">
        <f t="shared" si="85"/>
        <v>0</v>
      </c>
      <c r="L355" s="81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3.25" x14ac:dyDescent="0.35">
      <c r="A356" s="149"/>
      <c r="B356" s="146"/>
      <c r="C356" s="146"/>
      <c r="D356" s="27">
        <v>46106</v>
      </c>
      <c r="E356" s="28" t="s">
        <v>297</v>
      </c>
      <c r="F356" s="29">
        <v>0.35416666666666669</v>
      </c>
      <c r="G356" s="29">
        <v>0.54166666666666663</v>
      </c>
      <c r="H356" s="29">
        <v>0.58333333333333337</v>
      </c>
      <c r="I356" s="29">
        <v>0.72916666666666663</v>
      </c>
      <c r="J356" s="30">
        <f t="shared" si="83"/>
        <v>7.9999999999999964</v>
      </c>
      <c r="K356" s="32">
        <f t="shared" si="85"/>
        <v>0</v>
      </c>
      <c r="L356" s="82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3.25" x14ac:dyDescent="0.35">
      <c r="A357" s="149"/>
      <c r="B357" s="146"/>
      <c r="C357" s="146"/>
      <c r="D357" s="27"/>
      <c r="E357" s="28"/>
      <c r="F357" s="28"/>
      <c r="G357" s="28"/>
      <c r="H357" s="26"/>
      <c r="I357" s="34" t="s">
        <v>298</v>
      </c>
      <c r="J357" s="35">
        <v>1000</v>
      </c>
      <c r="K357" s="34"/>
      <c r="L357" s="34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3.25" x14ac:dyDescent="0.35">
      <c r="A358" s="149"/>
      <c r="B358" s="146"/>
      <c r="C358" s="146"/>
      <c r="D358" s="27"/>
      <c r="E358" s="28"/>
      <c r="F358" s="28"/>
      <c r="G358" s="28"/>
      <c r="H358" s="37"/>
      <c r="I358" s="34" t="s">
        <v>299</v>
      </c>
      <c r="J358" s="35">
        <f>J357*(COUNTIF(J350:J356, "&gt;0.00"))</f>
        <v>6000</v>
      </c>
      <c r="K358" s="35">
        <f>(J357/8)*(SUM(K350:K356))</f>
        <v>0</v>
      </c>
      <c r="L358" s="34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3.25" x14ac:dyDescent="0.35">
      <c r="A359" s="150"/>
      <c r="B359" s="147"/>
      <c r="C359" s="147"/>
      <c r="D359" s="38"/>
      <c r="E359" s="39"/>
      <c r="F359" s="39"/>
      <c r="G359" s="39"/>
      <c r="H359" s="40"/>
      <c r="I359" s="41" t="s">
        <v>300</v>
      </c>
      <c r="J359" s="42">
        <f>SUM(J358:K358)</f>
        <v>6000</v>
      </c>
      <c r="K359" s="34"/>
      <c r="L359" s="34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3.25" x14ac:dyDescent="0.35">
      <c r="A360" s="43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44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46.5" x14ac:dyDescent="0.35">
      <c r="A361" s="79" t="s">
        <v>93</v>
      </c>
      <c r="B361" s="23" t="s">
        <v>94</v>
      </c>
      <c r="C361" s="23" t="s">
        <v>1</v>
      </c>
      <c r="D361" s="24" t="s">
        <v>284</v>
      </c>
      <c r="E361" s="24" t="s">
        <v>285</v>
      </c>
      <c r="F361" s="24" t="s">
        <v>286</v>
      </c>
      <c r="G361" s="24" t="s">
        <v>287</v>
      </c>
      <c r="H361" s="24" t="s">
        <v>286</v>
      </c>
      <c r="I361" s="24" t="s">
        <v>287</v>
      </c>
      <c r="J361" s="24" t="s">
        <v>288</v>
      </c>
      <c r="K361" s="24" t="s">
        <v>234</v>
      </c>
      <c r="L361" s="80" t="s">
        <v>302</v>
      </c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3.25" x14ac:dyDescent="0.35">
      <c r="A362" s="152" t="s">
        <v>249</v>
      </c>
      <c r="B362" s="151" t="s">
        <v>136</v>
      </c>
      <c r="C362" s="145" t="s">
        <v>111</v>
      </c>
      <c r="D362" s="27">
        <v>46100</v>
      </c>
      <c r="E362" s="28" t="s">
        <v>291</v>
      </c>
      <c r="F362" s="29">
        <v>0.35416666666666669</v>
      </c>
      <c r="G362" s="29">
        <v>0.54166666666666663</v>
      </c>
      <c r="H362" s="29">
        <v>0.58333333333333337</v>
      </c>
      <c r="I362" s="29">
        <v>0.72916666666666663</v>
      </c>
      <c r="J362" s="30">
        <f t="shared" ref="J362:J368" si="86">(((I362-H362)+(G362-F362))*24)</f>
        <v>7.9999999999999964</v>
      </c>
      <c r="K362" s="30">
        <f t="shared" ref="K362:K364" si="87">J362-8</f>
        <v>0</v>
      </c>
      <c r="L362" s="81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3.25" x14ac:dyDescent="0.35">
      <c r="A363" s="149"/>
      <c r="B363" s="146"/>
      <c r="C363" s="146"/>
      <c r="D363" s="27">
        <v>46101</v>
      </c>
      <c r="E363" s="28" t="s">
        <v>292</v>
      </c>
      <c r="F363" s="29">
        <v>0.35416666666666669</v>
      </c>
      <c r="G363" s="29">
        <v>0.54166666666666663</v>
      </c>
      <c r="H363" s="29">
        <v>0.58333333333333337</v>
      </c>
      <c r="I363" s="29">
        <v>0.72916666666666663</v>
      </c>
      <c r="J363" s="30">
        <f t="shared" si="86"/>
        <v>7.9999999999999964</v>
      </c>
      <c r="K363" s="30">
        <f t="shared" si="87"/>
        <v>0</v>
      </c>
      <c r="L363" s="81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3.25" x14ac:dyDescent="0.35">
      <c r="A364" s="149"/>
      <c r="B364" s="146"/>
      <c r="C364" s="146"/>
      <c r="D364" s="27">
        <v>46102</v>
      </c>
      <c r="E364" s="28" t="s">
        <v>293</v>
      </c>
      <c r="F364" s="29">
        <v>0.35416666666666669</v>
      </c>
      <c r="G364" s="29">
        <v>0.54166666666666663</v>
      </c>
      <c r="H364" s="29">
        <v>0.58333333333333337</v>
      </c>
      <c r="I364" s="29">
        <v>0.72916666666666663</v>
      </c>
      <c r="J364" s="30">
        <f t="shared" si="86"/>
        <v>7.9999999999999964</v>
      </c>
      <c r="K364" s="30">
        <f t="shared" si="87"/>
        <v>0</v>
      </c>
      <c r="L364" s="81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3.25" x14ac:dyDescent="0.35">
      <c r="A365" s="149"/>
      <c r="B365" s="146"/>
      <c r="C365" s="146"/>
      <c r="D365" s="27">
        <v>46103</v>
      </c>
      <c r="E365" s="28" t="s">
        <v>294</v>
      </c>
      <c r="F365" s="29"/>
      <c r="G365" s="29"/>
      <c r="H365" s="29"/>
      <c r="I365" s="29"/>
      <c r="J365" s="30">
        <f t="shared" si="86"/>
        <v>0</v>
      </c>
      <c r="K365" s="28"/>
      <c r="L365" s="81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3.25" x14ac:dyDescent="0.35">
      <c r="A366" s="149"/>
      <c r="B366" s="146"/>
      <c r="C366" s="146"/>
      <c r="D366" s="27">
        <v>46104</v>
      </c>
      <c r="E366" s="28" t="s">
        <v>295</v>
      </c>
      <c r="F366" s="29">
        <v>0.35416666666666669</v>
      </c>
      <c r="G366" s="29">
        <v>0.54166666666666663</v>
      </c>
      <c r="H366" s="29">
        <v>0.58333333333333337</v>
      </c>
      <c r="I366" s="29">
        <v>0.72916666666666663</v>
      </c>
      <c r="J366" s="30">
        <f t="shared" si="86"/>
        <v>7.9999999999999964</v>
      </c>
      <c r="K366" s="30">
        <f t="shared" ref="K366:K368" si="88">J366-8</f>
        <v>0</v>
      </c>
      <c r="L366" s="81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3.25" x14ac:dyDescent="0.35">
      <c r="A367" s="149"/>
      <c r="B367" s="146"/>
      <c r="C367" s="146"/>
      <c r="D367" s="27">
        <v>46105</v>
      </c>
      <c r="E367" s="28" t="s">
        <v>296</v>
      </c>
      <c r="F367" s="29">
        <v>0.35416666666666669</v>
      </c>
      <c r="G367" s="29">
        <v>0.54166666666666663</v>
      </c>
      <c r="H367" s="29">
        <v>0.58333333333333337</v>
      </c>
      <c r="I367" s="29">
        <v>0.72916666666666663</v>
      </c>
      <c r="J367" s="30">
        <f t="shared" si="86"/>
        <v>7.9999999999999964</v>
      </c>
      <c r="K367" s="30">
        <f t="shared" si="88"/>
        <v>0</v>
      </c>
      <c r="L367" s="81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3.25" x14ac:dyDescent="0.35">
      <c r="A368" s="149"/>
      <c r="B368" s="146"/>
      <c r="C368" s="146"/>
      <c r="D368" s="27">
        <v>46106</v>
      </c>
      <c r="E368" s="28" t="s">
        <v>297</v>
      </c>
      <c r="F368" s="29">
        <v>0.35416666666666669</v>
      </c>
      <c r="G368" s="29">
        <v>0.54166666666666663</v>
      </c>
      <c r="H368" s="29">
        <v>0.58333333333333337</v>
      </c>
      <c r="I368" s="29">
        <v>0.72916666666666663</v>
      </c>
      <c r="J368" s="30">
        <f t="shared" si="86"/>
        <v>7.9999999999999964</v>
      </c>
      <c r="K368" s="32">
        <f t="shared" si="88"/>
        <v>0</v>
      </c>
      <c r="L368" s="82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3.25" x14ac:dyDescent="0.35">
      <c r="A369" s="149"/>
      <c r="B369" s="146"/>
      <c r="C369" s="146"/>
      <c r="D369" s="27"/>
      <c r="E369" s="28"/>
      <c r="F369" s="28"/>
      <c r="G369" s="28"/>
      <c r="H369" s="26"/>
      <c r="I369" s="34" t="s">
        <v>298</v>
      </c>
      <c r="J369" s="35">
        <v>800</v>
      </c>
      <c r="K369" s="34"/>
      <c r="L369" s="34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3.25" x14ac:dyDescent="0.35">
      <c r="A370" s="149"/>
      <c r="B370" s="146"/>
      <c r="C370" s="146"/>
      <c r="D370" s="27"/>
      <c r="E370" s="28"/>
      <c r="F370" s="28"/>
      <c r="G370" s="28"/>
      <c r="H370" s="37"/>
      <c r="I370" s="34" t="s">
        <v>299</v>
      </c>
      <c r="J370" s="35">
        <f>J369*(COUNTIF(J362:J368, "&gt;0.00"))</f>
        <v>4800</v>
      </c>
      <c r="K370" s="35">
        <f>(J369/8)*(SUM(K362:K368))</f>
        <v>0</v>
      </c>
      <c r="L370" s="34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3.25" x14ac:dyDescent="0.35">
      <c r="A371" s="150"/>
      <c r="B371" s="147"/>
      <c r="C371" s="147"/>
      <c r="D371" s="38"/>
      <c r="E371" s="39"/>
      <c r="F371" s="39"/>
      <c r="G371" s="39"/>
      <c r="H371" s="40"/>
      <c r="I371" s="41" t="s">
        <v>300</v>
      </c>
      <c r="J371" s="42">
        <f>SUM(J370:K370)</f>
        <v>4800</v>
      </c>
      <c r="K371" s="34"/>
      <c r="L371" s="34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3.25" x14ac:dyDescent="0.35"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46.5" x14ac:dyDescent="0.35">
      <c r="A373" s="79" t="s">
        <v>93</v>
      </c>
      <c r="B373" s="23" t="s">
        <v>94</v>
      </c>
      <c r="C373" s="23" t="s">
        <v>1</v>
      </c>
      <c r="D373" s="24" t="s">
        <v>284</v>
      </c>
      <c r="E373" s="24" t="s">
        <v>285</v>
      </c>
      <c r="F373" s="24" t="s">
        <v>286</v>
      </c>
      <c r="G373" s="24" t="s">
        <v>287</v>
      </c>
      <c r="H373" s="24" t="s">
        <v>286</v>
      </c>
      <c r="I373" s="24" t="s">
        <v>287</v>
      </c>
      <c r="J373" s="24" t="s">
        <v>288</v>
      </c>
      <c r="K373" s="24" t="s">
        <v>234</v>
      </c>
      <c r="L373" s="80" t="s">
        <v>302</v>
      </c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3.25" x14ac:dyDescent="0.35">
      <c r="A374" s="152" t="s">
        <v>250</v>
      </c>
      <c r="B374" s="151" t="s">
        <v>137</v>
      </c>
      <c r="C374" s="145" t="s">
        <v>111</v>
      </c>
      <c r="D374" s="27">
        <v>46100</v>
      </c>
      <c r="E374" s="28" t="s">
        <v>291</v>
      </c>
      <c r="F374" s="29"/>
      <c r="G374" s="29"/>
      <c r="H374" s="29"/>
      <c r="I374" s="29"/>
      <c r="J374" s="30">
        <f t="shared" ref="J374:J380" si="89">(((I374-H374)+(G374-F374))*24)</f>
        <v>0</v>
      </c>
      <c r="K374" s="28"/>
      <c r="L374" s="81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3.25" x14ac:dyDescent="0.35">
      <c r="A375" s="149"/>
      <c r="B375" s="146"/>
      <c r="C375" s="146"/>
      <c r="D375" s="27">
        <v>46101</v>
      </c>
      <c r="E375" s="28" t="s">
        <v>292</v>
      </c>
      <c r="F375" s="29">
        <v>0.35416666666666669</v>
      </c>
      <c r="G375" s="29">
        <v>0.54166666666666663</v>
      </c>
      <c r="H375" s="29">
        <v>0.58333333333333337</v>
      </c>
      <c r="I375" s="29">
        <v>0.72916666666666663</v>
      </c>
      <c r="J375" s="30">
        <f t="shared" si="89"/>
        <v>7.9999999999999964</v>
      </c>
      <c r="K375" s="30">
        <f t="shared" ref="K375:K376" si="90">J375-8</f>
        <v>0</v>
      </c>
      <c r="L375" s="81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3.25" x14ac:dyDescent="0.35">
      <c r="A376" s="149"/>
      <c r="B376" s="146"/>
      <c r="C376" s="146"/>
      <c r="D376" s="27">
        <v>46102</v>
      </c>
      <c r="E376" s="28" t="s">
        <v>293</v>
      </c>
      <c r="F376" s="29">
        <v>0.35416666666666669</v>
      </c>
      <c r="G376" s="29">
        <v>0.54166666666666663</v>
      </c>
      <c r="H376" s="29">
        <v>0.58333333333333337</v>
      </c>
      <c r="I376" s="29">
        <v>0.72916666666666663</v>
      </c>
      <c r="J376" s="30">
        <f t="shared" si="89"/>
        <v>7.9999999999999964</v>
      </c>
      <c r="K376" s="30">
        <f t="shared" si="90"/>
        <v>0</v>
      </c>
      <c r="L376" s="81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3.25" x14ac:dyDescent="0.35">
      <c r="A377" s="149"/>
      <c r="B377" s="146"/>
      <c r="C377" s="146"/>
      <c r="D377" s="27">
        <v>46103</v>
      </c>
      <c r="E377" s="28" t="s">
        <v>294</v>
      </c>
      <c r="F377" s="29"/>
      <c r="G377" s="29"/>
      <c r="H377" s="29"/>
      <c r="I377" s="29"/>
      <c r="J377" s="30">
        <f t="shared" si="89"/>
        <v>0</v>
      </c>
      <c r="K377" s="28"/>
      <c r="L377" s="81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3.25" x14ac:dyDescent="0.35">
      <c r="A378" s="149"/>
      <c r="B378" s="146"/>
      <c r="C378" s="146"/>
      <c r="D378" s="27">
        <v>46104</v>
      </c>
      <c r="E378" s="28" t="s">
        <v>295</v>
      </c>
      <c r="F378" s="29">
        <v>0.35416666666666669</v>
      </c>
      <c r="G378" s="29">
        <v>0.54166666666666663</v>
      </c>
      <c r="H378" s="29">
        <v>0.58333333333333337</v>
      </c>
      <c r="I378" s="29">
        <v>0.72916666666666663</v>
      </c>
      <c r="J378" s="30">
        <f t="shared" si="89"/>
        <v>7.9999999999999964</v>
      </c>
      <c r="K378" s="30">
        <f t="shared" ref="K378:K379" si="91">J378-8</f>
        <v>0</v>
      </c>
      <c r="L378" s="81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3.25" x14ac:dyDescent="0.35">
      <c r="A379" s="149"/>
      <c r="B379" s="146"/>
      <c r="C379" s="146"/>
      <c r="D379" s="27">
        <v>46105</v>
      </c>
      <c r="E379" s="28" t="s">
        <v>296</v>
      </c>
      <c r="F379" s="29">
        <v>0.35416666666666669</v>
      </c>
      <c r="G379" s="29">
        <v>0.54166666666666663</v>
      </c>
      <c r="H379" s="29">
        <v>0.58333333333333337</v>
      </c>
      <c r="I379" s="29">
        <v>0.72916666666666663</v>
      </c>
      <c r="J379" s="30">
        <f t="shared" si="89"/>
        <v>7.9999999999999964</v>
      </c>
      <c r="K379" s="30">
        <f t="shared" si="91"/>
        <v>0</v>
      </c>
      <c r="L379" s="81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3.25" x14ac:dyDescent="0.35">
      <c r="A380" s="149"/>
      <c r="B380" s="146"/>
      <c r="C380" s="146"/>
      <c r="D380" s="27">
        <v>46106</v>
      </c>
      <c r="E380" s="28" t="s">
        <v>297</v>
      </c>
      <c r="F380" s="29"/>
      <c r="G380" s="29"/>
      <c r="H380" s="29"/>
      <c r="I380" s="29"/>
      <c r="J380" s="30">
        <f t="shared" si="89"/>
        <v>0</v>
      </c>
      <c r="K380" s="83"/>
      <c r="L380" s="82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3.25" x14ac:dyDescent="0.35">
      <c r="A381" s="149"/>
      <c r="B381" s="146"/>
      <c r="C381" s="146"/>
      <c r="D381" s="27"/>
      <c r="E381" s="28"/>
      <c r="F381" s="28"/>
      <c r="G381" s="28"/>
      <c r="H381" s="26"/>
      <c r="I381" s="34" t="s">
        <v>298</v>
      </c>
      <c r="J381" s="35">
        <v>800</v>
      </c>
      <c r="K381" s="34"/>
      <c r="L381" s="34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3.25" x14ac:dyDescent="0.35">
      <c r="A382" s="149"/>
      <c r="B382" s="146"/>
      <c r="C382" s="146"/>
      <c r="D382" s="27"/>
      <c r="E382" s="28"/>
      <c r="F382" s="28"/>
      <c r="G382" s="28"/>
      <c r="H382" s="37"/>
      <c r="I382" s="34" t="s">
        <v>299</v>
      </c>
      <c r="J382" s="35">
        <f>J381*(COUNTIF(J374:J380, "&gt;0.00"))</f>
        <v>3200</v>
      </c>
      <c r="K382" s="35">
        <f>(J381/8)*(SUM(K374:K380))</f>
        <v>0</v>
      </c>
      <c r="L382" s="34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3.25" x14ac:dyDescent="0.35">
      <c r="A383" s="150"/>
      <c r="B383" s="147"/>
      <c r="C383" s="147"/>
      <c r="D383" s="38"/>
      <c r="E383" s="39"/>
      <c r="F383" s="39"/>
      <c r="G383" s="39"/>
      <c r="H383" s="40"/>
      <c r="I383" s="41" t="s">
        <v>300</v>
      </c>
      <c r="J383" s="42">
        <f>SUM(J382:K382)</f>
        <v>3200</v>
      </c>
      <c r="K383" s="34"/>
      <c r="L383" s="34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3.25" x14ac:dyDescent="0.35"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3.25" x14ac:dyDescent="0.35">
      <c r="A385" s="43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44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3.25" x14ac:dyDescent="0.35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</row>
    <row r="387" spans="1:28" ht="23.25" x14ac:dyDescent="0.35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</row>
    <row r="388" spans="1:28" ht="23.25" x14ac:dyDescent="0.35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</row>
    <row r="389" spans="1:28" ht="23.25" x14ac:dyDescent="0.35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</row>
    <row r="390" spans="1:28" ht="23.25" x14ac:dyDescent="0.35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</row>
    <row r="391" spans="1:28" ht="23.25" x14ac:dyDescent="0.35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</row>
    <row r="392" spans="1:28" ht="23.25" x14ac:dyDescent="0.35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</row>
    <row r="393" spans="1:28" ht="23.25" x14ac:dyDescent="0.35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</row>
    <row r="394" spans="1:28" ht="23.25" x14ac:dyDescent="0.35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</row>
    <row r="395" spans="1:28" ht="23.25" x14ac:dyDescent="0.3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</row>
    <row r="396" spans="1:28" ht="23.25" x14ac:dyDescent="0.35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</row>
    <row r="397" spans="1:28" ht="23.25" x14ac:dyDescent="0.35">
      <c r="A397" s="84"/>
      <c r="B397" s="85"/>
      <c r="C397" s="84"/>
      <c r="D397" s="26"/>
      <c r="E397" s="26"/>
      <c r="F397" s="26"/>
      <c r="G397" s="26"/>
      <c r="H397" s="26"/>
      <c r="I397" s="68"/>
      <c r="J397" s="68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3.25" x14ac:dyDescent="0.35">
      <c r="A398" s="84"/>
      <c r="B398" s="85"/>
      <c r="C398" s="84"/>
      <c r="D398" s="26"/>
      <c r="E398" s="26"/>
      <c r="F398" s="26"/>
      <c r="G398" s="26"/>
      <c r="H398" s="26"/>
      <c r="I398" s="68"/>
      <c r="J398" s="68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3.25" x14ac:dyDescent="0.35">
      <c r="A399" s="84"/>
      <c r="B399" s="85"/>
      <c r="C399" s="84"/>
      <c r="D399" s="26"/>
      <c r="E399" s="26"/>
      <c r="F399" s="26"/>
      <c r="G399" s="26"/>
      <c r="H399" s="26"/>
      <c r="I399" s="68"/>
      <c r="J399" s="68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3.25" x14ac:dyDescent="0.35">
      <c r="A400" s="84"/>
      <c r="B400" s="85"/>
      <c r="C400" s="84"/>
      <c r="D400" s="26"/>
      <c r="E400" s="26"/>
      <c r="F400" s="26"/>
      <c r="G400" s="26"/>
      <c r="H400" s="26"/>
      <c r="I400" s="68"/>
      <c r="J400" s="68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3.25" x14ac:dyDescent="0.35">
      <c r="A401" s="84"/>
      <c r="B401" s="85"/>
      <c r="C401" s="84"/>
      <c r="D401" s="26"/>
      <c r="E401" s="26"/>
      <c r="F401" s="26"/>
      <c r="G401" s="26"/>
      <c r="H401" s="26"/>
      <c r="I401" s="68"/>
      <c r="J401" s="68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3.25" x14ac:dyDescent="0.35">
      <c r="A402" s="84"/>
      <c r="B402" s="85"/>
      <c r="C402" s="84"/>
      <c r="D402" s="26"/>
      <c r="E402" s="26"/>
      <c r="F402" s="26"/>
      <c r="G402" s="26"/>
      <c r="H402" s="26"/>
      <c r="I402" s="68"/>
      <c r="J402" s="68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3.25" x14ac:dyDescent="0.35">
      <c r="A403" s="84"/>
      <c r="B403" s="85"/>
      <c r="C403" s="84"/>
      <c r="D403" s="26"/>
      <c r="E403" s="26"/>
      <c r="F403" s="26"/>
      <c r="G403" s="26"/>
      <c r="H403" s="26"/>
      <c r="I403" s="68"/>
      <c r="J403" s="68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3.25" x14ac:dyDescent="0.35">
      <c r="A404" s="84"/>
      <c r="B404" s="85"/>
      <c r="C404" s="84"/>
      <c r="D404" s="26"/>
      <c r="E404" s="26"/>
      <c r="F404" s="26"/>
      <c r="G404" s="26"/>
      <c r="H404" s="26"/>
      <c r="I404" s="68"/>
      <c r="J404" s="68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3.25" x14ac:dyDescent="0.35">
      <c r="A405" s="84"/>
      <c r="B405" s="85"/>
      <c r="C405" s="84"/>
      <c r="D405" s="26"/>
      <c r="E405" s="26"/>
      <c r="F405" s="26"/>
      <c r="G405" s="26"/>
      <c r="H405" s="26"/>
      <c r="I405" s="68"/>
      <c r="J405" s="68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3.25" x14ac:dyDescent="0.35">
      <c r="A406" s="84"/>
      <c r="B406" s="85"/>
      <c r="C406" s="84"/>
      <c r="D406" s="26"/>
      <c r="E406" s="26"/>
      <c r="F406" s="26"/>
      <c r="G406" s="26"/>
      <c r="H406" s="26"/>
      <c r="I406" s="68"/>
      <c r="J406" s="68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3.25" x14ac:dyDescent="0.35">
      <c r="A407" s="84"/>
      <c r="B407" s="85"/>
      <c r="C407" s="84"/>
      <c r="D407" s="26"/>
      <c r="E407" s="26"/>
      <c r="F407" s="26"/>
      <c r="G407" s="26"/>
      <c r="H407" s="26"/>
      <c r="I407" s="68"/>
      <c r="J407" s="68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3.25" x14ac:dyDescent="0.35">
      <c r="A408" s="84"/>
      <c r="B408" s="85"/>
      <c r="C408" s="84"/>
      <c r="D408" s="26"/>
      <c r="E408" s="26"/>
      <c r="F408" s="26"/>
      <c r="G408" s="26"/>
      <c r="H408" s="26"/>
      <c r="I408" s="68"/>
      <c r="J408" s="68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3.25" x14ac:dyDescent="0.35">
      <c r="A409" s="84"/>
      <c r="B409" s="85"/>
      <c r="C409" s="84"/>
      <c r="D409" s="26"/>
      <c r="E409" s="26"/>
      <c r="F409" s="26"/>
      <c r="G409" s="26"/>
      <c r="H409" s="26"/>
      <c r="I409" s="68"/>
      <c r="J409" s="68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3.25" x14ac:dyDescent="0.35">
      <c r="A410" s="84"/>
      <c r="B410" s="85"/>
      <c r="C410" s="84"/>
      <c r="D410" s="26"/>
      <c r="E410" s="26"/>
      <c r="F410" s="26"/>
      <c r="G410" s="26"/>
      <c r="H410" s="26"/>
      <c r="I410" s="68"/>
      <c r="J410" s="68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3.25" x14ac:dyDescent="0.35">
      <c r="A411" s="84"/>
      <c r="B411" s="85"/>
      <c r="C411" s="84"/>
      <c r="D411" s="26"/>
      <c r="E411" s="26"/>
      <c r="F411" s="26"/>
      <c r="G411" s="26"/>
      <c r="H411" s="26"/>
      <c r="I411" s="68"/>
      <c r="J411" s="68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3.25" x14ac:dyDescent="0.35">
      <c r="A412" s="84"/>
      <c r="B412" s="85"/>
      <c r="C412" s="84"/>
      <c r="D412" s="26"/>
      <c r="E412" s="26"/>
      <c r="F412" s="26"/>
      <c r="G412" s="26"/>
      <c r="H412" s="26"/>
      <c r="I412" s="68"/>
      <c r="J412" s="68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3.25" x14ac:dyDescent="0.35">
      <c r="A413" s="84"/>
      <c r="B413" s="85"/>
      <c r="C413" s="84"/>
      <c r="D413" s="26"/>
      <c r="E413" s="26"/>
      <c r="F413" s="26"/>
      <c r="G413" s="26"/>
      <c r="H413" s="26"/>
      <c r="I413" s="68"/>
      <c r="J413" s="68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3.25" x14ac:dyDescent="0.35">
      <c r="A414" s="84"/>
      <c r="B414" s="85"/>
      <c r="C414" s="84"/>
      <c r="D414" s="26"/>
      <c r="E414" s="26"/>
      <c r="F414" s="26"/>
      <c r="G414" s="26"/>
      <c r="H414" s="26"/>
      <c r="I414" s="68"/>
      <c r="J414" s="68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3.25" x14ac:dyDescent="0.35">
      <c r="A415" s="84"/>
      <c r="B415" s="85"/>
      <c r="C415" s="84"/>
      <c r="D415" s="26"/>
      <c r="E415" s="26"/>
      <c r="F415" s="26"/>
      <c r="G415" s="26"/>
      <c r="H415" s="26"/>
      <c r="I415" s="68"/>
      <c r="J415" s="68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3.25" x14ac:dyDescent="0.35">
      <c r="A416" s="84"/>
      <c r="B416" s="85"/>
      <c r="C416" s="84"/>
      <c r="D416" s="26"/>
      <c r="E416" s="26"/>
      <c r="F416" s="26"/>
      <c r="G416" s="26"/>
      <c r="H416" s="26"/>
      <c r="I416" s="68"/>
      <c r="J416" s="68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3.25" x14ac:dyDescent="0.35">
      <c r="A417" s="84"/>
      <c r="B417" s="85"/>
      <c r="C417" s="84"/>
      <c r="D417" s="26"/>
      <c r="E417" s="26"/>
      <c r="F417" s="26"/>
      <c r="G417" s="26"/>
      <c r="H417" s="26"/>
      <c r="I417" s="68"/>
      <c r="J417" s="68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3.25" x14ac:dyDescent="0.35">
      <c r="A418" s="84"/>
      <c r="B418" s="85"/>
      <c r="C418" s="84"/>
      <c r="D418" s="26"/>
      <c r="E418" s="26"/>
      <c r="F418" s="26"/>
      <c r="G418" s="26"/>
      <c r="H418" s="26"/>
      <c r="I418" s="68"/>
      <c r="J418" s="68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3.25" x14ac:dyDescent="0.35">
      <c r="A419" s="84"/>
      <c r="B419" s="85"/>
      <c r="C419" s="84"/>
      <c r="D419" s="26"/>
      <c r="E419" s="26"/>
      <c r="F419" s="26"/>
      <c r="G419" s="26"/>
      <c r="H419" s="26"/>
      <c r="I419" s="68"/>
      <c r="J419" s="68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3.25" x14ac:dyDescent="0.35">
      <c r="A420" s="84"/>
      <c r="B420" s="85"/>
      <c r="C420" s="84"/>
      <c r="D420" s="26"/>
      <c r="E420" s="26"/>
      <c r="F420" s="26"/>
      <c r="G420" s="26"/>
      <c r="H420" s="26"/>
      <c r="I420" s="68"/>
      <c r="J420" s="68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3.25" x14ac:dyDescent="0.35">
      <c r="A421" s="84"/>
      <c r="B421" s="85"/>
      <c r="C421" s="84"/>
      <c r="D421" s="26"/>
      <c r="E421" s="26"/>
      <c r="F421" s="26"/>
      <c r="G421" s="26"/>
      <c r="H421" s="26"/>
      <c r="I421" s="68"/>
      <c r="J421" s="68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3.25" x14ac:dyDescent="0.35">
      <c r="A422" s="84"/>
      <c r="B422" s="85"/>
      <c r="C422" s="84"/>
      <c r="D422" s="26"/>
      <c r="E422" s="26"/>
      <c r="F422" s="26"/>
      <c r="G422" s="26"/>
      <c r="H422" s="26"/>
      <c r="I422" s="68"/>
      <c r="J422" s="68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3.25" x14ac:dyDescent="0.35">
      <c r="A423" s="84"/>
      <c r="B423" s="85"/>
      <c r="C423" s="84"/>
      <c r="D423" s="26"/>
      <c r="E423" s="26"/>
      <c r="F423" s="26"/>
      <c r="G423" s="26"/>
      <c r="H423" s="26"/>
      <c r="I423" s="68"/>
      <c r="J423" s="68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3.25" x14ac:dyDescent="0.35">
      <c r="A424" s="84"/>
      <c r="B424" s="85"/>
      <c r="C424" s="84"/>
      <c r="D424" s="26"/>
      <c r="E424" s="26"/>
      <c r="F424" s="26"/>
      <c r="G424" s="26"/>
      <c r="H424" s="26"/>
      <c r="I424" s="68"/>
      <c r="J424" s="68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3.25" x14ac:dyDescent="0.35">
      <c r="A425" s="84"/>
      <c r="B425" s="85"/>
      <c r="C425" s="84"/>
      <c r="D425" s="26"/>
      <c r="E425" s="26"/>
      <c r="F425" s="26"/>
      <c r="G425" s="26"/>
      <c r="H425" s="26"/>
      <c r="I425" s="68"/>
      <c r="J425" s="68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3.25" x14ac:dyDescent="0.35">
      <c r="A426" s="84"/>
      <c r="B426" s="85"/>
      <c r="C426" s="84"/>
      <c r="D426" s="26"/>
      <c r="E426" s="26"/>
      <c r="F426" s="26"/>
      <c r="G426" s="26"/>
      <c r="H426" s="26"/>
      <c r="I426" s="68"/>
      <c r="J426" s="68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3.25" x14ac:dyDescent="0.35">
      <c r="A427" s="84"/>
      <c r="B427" s="85"/>
      <c r="C427" s="84"/>
      <c r="D427" s="26"/>
      <c r="E427" s="26"/>
      <c r="F427" s="26"/>
      <c r="G427" s="26"/>
      <c r="H427" s="26"/>
      <c r="I427" s="68"/>
      <c r="J427" s="68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3.25" x14ac:dyDescent="0.35">
      <c r="A428" s="84"/>
      <c r="B428" s="85"/>
      <c r="C428" s="84"/>
      <c r="D428" s="26"/>
      <c r="E428" s="26"/>
      <c r="F428" s="26"/>
      <c r="G428" s="26"/>
      <c r="H428" s="26"/>
      <c r="I428" s="68"/>
      <c r="J428" s="68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3.25" x14ac:dyDescent="0.35">
      <c r="A429" s="84"/>
      <c r="B429" s="85"/>
      <c r="C429" s="84"/>
      <c r="D429" s="26"/>
      <c r="E429" s="26"/>
      <c r="F429" s="26"/>
      <c r="G429" s="26"/>
      <c r="H429" s="26"/>
      <c r="I429" s="68"/>
      <c r="J429" s="68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3.25" x14ac:dyDescent="0.35">
      <c r="A430" s="84"/>
      <c r="B430" s="85"/>
      <c r="C430" s="84"/>
      <c r="D430" s="26"/>
      <c r="E430" s="26"/>
      <c r="F430" s="26"/>
      <c r="G430" s="26"/>
      <c r="H430" s="26"/>
      <c r="I430" s="68"/>
      <c r="J430" s="68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3.25" x14ac:dyDescent="0.35">
      <c r="A431" s="84"/>
      <c r="B431" s="85"/>
      <c r="C431" s="84"/>
      <c r="D431" s="26"/>
      <c r="E431" s="26"/>
      <c r="F431" s="26"/>
      <c r="G431" s="26"/>
      <c r="H431" s="26"/>
      <c r="I431" s="68"/>
      <c r="J431" s="68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3.25" x14ac:dyDescent="0.35">
      <c r="A432" s="84"/>
      <c r="B432" s="85"/>
      <c r="C432" s="84"/>
      <c r="D432" s="26"/>
      <c r="E432" s="26"/>
      <c r="F432" s="26"/>
      <c r="G432" s="26"/>
      <c r="H432" s="26"/>
      <c r="I432" s="68"/>
      <c r="J432" s="68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3.25" x14ac:dyDescent="0.35">
      <c r="A433" s="84"/>
      <c r="B433" s="85"/>
      <c r="C433" s="84"/>
      <c r="D433" s="26"/>
      <c r="E433" s="26"/>
      <c r="F433" s="26"/>
      <c r="G433" s="26"/>
      <c r="H433" s="26"/>
      <c r="I433" s="68"/>
      <c r="J433" s="68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3.25" x14ac:dyDescent="0.35">
      <c r="A434" s="84"/>
      <c r="B434" s="85"/>
      <c r="C434" s="84"/>
      <c r="D434" s="26"/>
      <c r="E434" s="26"/>
      <c r="F434" s="26"/>
      <c r="G434" s="26"/>
      <c r="H434" s="26"/>
      <c r="I434" s="68"/>
      <c r="J434" s="68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3.25" x14ac:dyDescent="0.35">
      <c r="A435" s="84"/>
      <c r="B435" s="85"/>
      <c r="C435" s="84"/>
      <c r="D435" s="26"/>
      <c r="E435" s="26"/>
      <c r="F435" s="26"/>
      <c r="G435" s="26"/>
      <c r="H435" s="26"/>
      <c r="I435" s="68"/>
      <c r="J435" s="68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3.25" x14ac:dyDescent="0.35">
      <c r="A436" s="84"/>
      <c r="B436" s="85"/>
      <c r="C436" s="84"/>
      <c r="D436" s="26"/>
      <c r="E436" s="26"/>
      <c r="F436" s="26"/>
      <c r="G436" s="26"/>
      <c r="H436" s="26"/>
      <c r="I436" s="68"/>
      <c r="J436" s="68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3.25" x14ac:dyDescent="0.35">
      <c r="A437" s="84"/>
      <c r="B437" s="85"/>
      <c r="C437" s="84"/>
      <c r="D437" s="26"/>
      <c r="E437" s="26"/>
      <c r="F437" s="26"/>
      <c r="G437" s="26"/>
      <c r="H437" s="26"/>
      <c r="I437" s="68"/>
      <c r="J437" s="68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3.25" x14ac:dyDescent="0.35">
      <c r="A438" s="84"/>
      <c r="B438" s="85"/>
      <c r="C438" s="84"/>
      <c r="D438" s="26"/>
      <c r="E438" s="26"/>
      <c r="F438" s="26"/>
      <c r="G438" s="26"/>
      <c r="H438" s="26"/>
      <c r="I438" s="68"/>
      <c r="J438" s="68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3.25" x14ac:dyDescent="0.35">
      <c r="A439" s="84"/>
      <c r="B439" s="85"/>
      <c r="C439" s="84"/>
      <c r="D439" s="26"/>
      <c r="E439" s="26"/>
      <c r="F439" s="26"/>
      <c r="G439" s="26"/>
      <c r="H439" s="26"/>
      <c r="I439" s="68"/>
      <c r="J439" s="68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3.25" x14ac:dyDescent="0.35">
      <c r="A440" s="84"/>
      <c r="B440" s="85"/>
      <c r="C440" s="84"/>
      <c r="D440" s="26"/>
      <c r="E440" s="26"/>
      <c r="F440" s="26"/>
      <c r="G440" s="26"/>
      <c r="H440" s="26"/>
      <c r="I440" s="68"/>
      <c r="J440" s="68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3.25" x14ac:dyDescent="0.35">
      <c r="A441" s="84"/>
      <c r="B441" s="85"/>
      <c r="C441" s="84"/>
      <c r="D441" s="26"/>
      <c r="E441" s="26"/>
      <c r="F441" s="26"/>
      <c r="G441" s="26"/>
      <c r="H441" s="26"/>
      <c r="I441" s="68"/>
      <c r="J441" s="68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3.25" x14ac:dyDescent="0.35">
      <c r="A442" s="84"/>
      <c r="B442" s="85"/>
      <c r="C442" s="84"/>
      <c r="D442" s="26"/>
      <c r="E442" s="26"/>
      <c r="F442" s="26"/>
      <c r="G442" s="26"/>
      <c r="H442" s="26"/>
      <c r="I442" s="68"/>
      <c r="J442" s="68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3.25" x14ac:dyDescent="0.35">
      <c r="A443" s="84"/>
      <c r="B443" s="85"/>
      <c r="C443" s="84"/>
      <c r="D443" s="26"/>
      <c r="E443" s="26"/>
      <c r="F443" s="26"/>
      <c r="G443" s="26"/>
      <c r="H443" s="26"/>
      <c r="I443" s="68"/>
      <c r="J443" s="68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3.25" x14ac:dyDescent="0.35">
      <c r="A444" s="84"/>
      <c r="B444" s="85"/>
      <c r="C444" s="84"/>
      <c r="D444" s="26"/>
      <c r="E444" s="26"/>
      <c r="F444" s="26"/>
      <c r="G444" s="26"/>
      <c r="H444" s="26"/>
      <c r="I444" s="68"/>
      <c r="J444" s="68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3.25" x14ac:dyDescent="0.35">
      <c r="A445" s="84"/>
      <c r="B445" s="85"/>
      <c r="C445" s="84"/>
      <c r="D445" s="26"/>
      <c r="E445" s="26"/>
      <c r="F445" s="26"/>
      <c r="G445" s="26"/>
      <c r="H445" s="26"/>
      <c r="I445" s="68"/>
      <c r="J445" s="68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3.25" x14ac:dyDescent="0.35">
      <c r="A446" s="84"/>
      <c r="B446" s="85"/>
      <c r="C446" s="84"/>
      <c r="D446" s="26"/>
      <c r="E446" s="26"/>
      <c r="F446" s="26"/>
      <c r="G446" s="26"/>
      <c r="H446" s="26"/>
      <c r="I446" s="68"/>
      <c r="J446" s="68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3.25" x14ac:dyDescent="0.35">
      <c r="A447" s="84"/>
      <c r="B447" s="85"/>
      <c r="C447" s="84"/>
      <c r="D447" s="26"/>
      <c r="E447" s="26"/>
      <c r="F447" s="26"/>
      <c r="G447" s="26"/>
      <c r="H447" s="26"/>
      <c r="I447" s="68"/>
      <c r="J447" s="68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</sheetData>
  <mergeCells count="96">
    <mergeCell ref="A362:A371"/>
    <mergeCell ref="B362:B371"/>
    <mergeCell ref="C362:C371"/>
    <mergeCell ref="A374:A383"/>
    <mergeCell ref="B374:B383"/>
    <mergeCell ref="C374:C383"/>
    <mergeCell ref="B98:B107"/>
    <mergeCell ref="C98:C107"/>
    <mergeCell ref="A74:A83"/>
    <mergeCell ref="B74:B83"/>
    <mergeCell ref="C74:C83"/>
    <mergeCell ref="A86:A95"/>
    <mergeCell ref="B86:B95"/>
    <mergeCell ref="C86:C95"/>
    <mergeCell ref="A98:A107"/>
    <mergeCell ref="B62:B71"/>
    <mergeCell ref="C62:C71"/>
    <mergeCell ref="A38:A47"/>
    <mergeCell ref="B38:B47"/>
    <mergeCell ref="C38:C47"/>
    <mergeCell ref="A50:A59"/>
    <mergeCell ref="B50:B59"/>
    <mergeCell ref="C50:C59"/>
    <mergeCell ref="A62:A71"/>
    <mergeCell ref="B26:B35"/>
    <mergeCell ref="C26:C35"/>
    <mergeCell ref="A2:A11"/>
    <mergeCell ref="B2:B11"/>
    <mergeCell ref="C2:C11"/>
    <mergeCell ref="A14:A23"/>
    <mergeCell ref="B14:B23"/>
    <mergeCell ref="C14:C23"/>
    <mergeCell ref="A26:A35"/>
    <mergeCell ref="B350:B359"/>
    <mergeCell ref="C350:C359"/>
    <mergeCell ref="A326:A335"/>
    <mergeCell ref="B326:B335"/>
    <mergeCell ref="C326:C335"/>
    <mergeCell ref="A338:A347"/>
    <mergeCell ref="B338:B347"/>
    <mergeCell ref="C338:C347"/>
    <mergeCell ref="A350:A359"/>
    <mergeCell ref="B314:B323"/>
    <mergeCell ref="C314:C323"/>
    <mergeCell ref="A290:A299"/>
    <mergeCell ref="B290:B299"/>
    <mergeCell ref="C290:C299"/>
    <mergeCell ref="A302:A311"/>
    <mergeCell ref="B302:B311"/>
    <mergeCell ref="C302:C311"/>
    <mergeCell ref="A314:A323"/>
    <mergeCell ref="B278:B287"/>
    <mergeCell ref="C278:C287"/>
    <mergeCell ref="A254:A263"/>
    <mergeCell ref="B254:B263"/>
    <mergeCell ref="C254:C263"/>
    <mergeCell ref="A266:A275"/>
    <mergeCell ref="B266:B275"/>
    <mergeCell ref="C266:C275"/>
    <mergeCell ref="A278:A287"/>
    <mergeCell ref="B242:B251"/>
    <mergeCell ref="C242:C251"/>
    <mergeCell ref="A218:A227"/>
    <mergeCell ref="B218:B227"/>
    <mergeCell ref="C218:C227"/>
    <mergeCell ref="A230:A239"/>
    <mergeCell ref="B230:B239"/>
    <mergeCell ref="C230:C239"/>
    <mergeCell ref="A242:A251"/>
    <mergeCell ref="B206:B215"/>
    <mergeCell ref="C206:C215"/>
    <mergeCell ref="A182:A191"/>
    <mergeCell ref="B182:B191"/>
    <mergeCell ref="C182:C191"/>
    <mergeCell ref="A194:A203"/>
    <mergeCell ref="B194:B203"/>
    <mergeCell ref="C194:C203"/>
    <mergeCell ref="A206:A215"/>
    <mergeCell ref="B170:B179"/>
    <mergeCell ref="C170:C179"/>
    <mergeCell ref="A146:A155"/>
    <mergeCell ref="B146:B155"/>
    <mergeCell ref="C146:C155"/>
    <mergeCell ref="A158:A167"/>
    <mergeCell ref="B158:B167"/>
    <mergeCell ref="C158:C167"/>
    <mergeCell ref="A170:A179"/>
    <mergeCell ref="B134:B143"/>
    <mergeCell ref="C134:C143"/>
    <mergeCell ref="A110:A119"/>
    <mergeCell ref="B110:B119"/>
    <mergeCell ref="C110:C119"/>
    <mergeCell ref="A122:A131"/>
    <mergeCell ref="B122:B131"/>
    <mergeCell ref="C122:C131"/>
    <mergeCell ref="A134:A143"/>
  </mergeCells>
  <printOptions horizontalCentered="1" gridLines="1"/>
  <pageMargins left="0.25" right="0.25" top="0.75" bottom="0.75" header="0" footer="0"/>
  <pageSetup paperSize="9" pageOrder="overThenDown" orientation="portrait" cellComments="atEnd"/>
  <rowBreaks count="9" manualBreakCount="9">
    <brk man="1"/>
    <brk id="191" man="1"/>
    <brk id="239" man="1"/>
    <brk id="47" man="1"/>
    <brk id="95" man="1"/>
    <brk id="335" man="1"/>
    <brk id="383" man="1"/>
    <brk id="143" man="1"/>
    <brk id="287" man="1"/>
  </rowBreaks>
  <colBreaks count="2" manualBreakCount="2">
    <brk man="1"/>
    <brk id="12" man="1"/>
  </colBreak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59"/>
  <sheetViews>
    <sheetView workbookViewId="0"/>
  </sheetViews>
  <sheetFormatPr defaultColWidth="12.5703125" defaultRowHeight="15.75" customHeight="1" x14ac:dyDescent="0.2"/>
  <cols>
    <col min="1" max="1" width="16.140625" customWidth="1"/>
    <col min="2" max="2" width="19.7109375" customWidth="1"/>
    <col min="3" max="3" width="10.140625" customWidth="1"/>
    <col min="4" max="4" width="20.5703125" customWidth="1"/>
    <col min="5" max="5" width="17.85546875" customWidth="1"/>
    <col min="6" max="6" width="29.140625" customWidth="1"/>
    <col min="7" max="7" width="17.5703125" customWidth="1"/>
  </cols>
  <sheetData>
    <row r="1" spans="1:8" ht="15.75" customHeight="1" x14ac:dyDescent="0.35">
      <c r="A1" s="86" t="s">
        <v>93</v>
      </c>
      <c r="B1" s="86" t="s">
        <v>94</v>
      </c>
      <c r="C1" s="86" t="s">
        <v>1</v>
      </c>
      <c r="D1" s="86" t="s">
        <v>304</v>
      </c>
      <c r="E1" s="86" t="s">
        <v>305</v>
      </c>
      <c r="F1" s="86" t="s">
        <v>306</v>
      </c>
      <c r="G1" s="86" t="s">
        <v>307</v>
      </c>
      <c r="H1" s="87"/>
    </row>
    <row r="2" spans="1:8" ht="15.75" customHeight="1" x14ac:dyDescent="0.35">
      <c r="A2" s="88" t="s">
        <v>4</v>
      </c>
      <c r="B2" s="89" t="s">
        <v>184</v>
      </c>
      <c r="C2" s="89" t="str">
        <f t="shared" ref="C2:C36" si="0">MID(A2,7,3)</f>
        <v>FBW</v>
      </c>
      <c r="D2" s="90"/>
      <c r="E2" s="91">
        <v>9567031213</v>
      </c>
      <c r="F2" s="91"/>
      <c r="G2" s="91"/>
      <c r="H2" s="87"/>
    </row>
    <row r="3" spans="1:8" ht="15.75" customHeight="1" x14ac:dyDescent="0.35">
      <c r="A3" s="89" t="s">
        <v>14</v>
      </c>
      <c r="B3" s="89" t="s">
        <v>185</v>
      </c>
      <c r="C3" s="89" t="str">
        <f t="shared" si="0"/>
        <v>SHT</v>
      </c>
      <c r="D3" s="90">
        <v>10290.499999999996</v>
      </c>
      <c r="E3" s="91">
        <v>9707096286</v>
      </c>
      <c r="F3" s="91"/>
      <c r="G3" s="91"/>
      <c r="H3" s="87"/>
    </row>
    <row r="4" spans="1:8" ht="15.75" customHeight="1" x14ac:dyDescent="0.35">
      <c r="A4" s="89" t="s">
        <v>22</v>
      </c>
      <c r="B4" s="89" t="s">
        <v>186</v>
      </c>
      <c r="C4" s="89" t="str">
        <f t="shared" si="0"/>
        <v>MSN</v>
      </c>
      <c r="D4" s="90">
        <v>8985.6249999999982</v>
      </c>
      <c r="E4" s="91">
        <v>7636870189</v>
      </c>
      <c r="F4" s="91"/>
      <c r="G4" s="91"/>
      <c r="H4" s="87"/>
    </row>
    <row r="5" spans="1:8" ht="15.75" customHeight="1" x14ac:dyDescent="0.35">
      <c r="A5" s="89" t="s">
        <v>24</v>
      </c>
      <c r="B5" s="89" t="s">
        <v>187</v>
      </c>
      <c r="C5" s="89" t="str">
        <f t="shared" si="0"/>
        <v>HLP</v>
      </c>
      <c r="D5" s="90">
        <v>6893.3333333333312</v>
      </c>
      <c r="E5" s="91">
        <v>9365106680</v>
      </c>
      <c r="F5" s="91"/>
      <c r="G5" s="91"/>
      <c r="H5" s="87"/>
    </row>
    <row r="6" spans="1:8" ht="15.75" customHeight="1" x14ac:dyDescent="0.35">
      <c r="A6" s="89" t="s">
        <v>28</v>
      </c>
      <c r="B6" s="89" t="s">
        <v>188</v>
      </c>
      <c r="C6" s="89" t="str">
        <f t="shared" si="0"/>
        <v>HLP</v>
      </c>
      <c r="D6" s="90">
        <v>6713.6666666666652</v>
      </c>
      <c r="E6" s="91">
        <v>6002182741</v>
      </c>
      <c r="F6" s="91"/>
      <c r="G6" s="91"/>
      <c r="H6" s="87"/>
    </row>
    <row r="7" spans="1:8" ht="15.75" customHeight="1" x14ac:dyDescent="0.35">
      <c r="A7" s="89" t="s">
        <v>31</v>
      </c>
      <c r="B7" s="89" t="s">
        <v>189</v>
      </c>
      <c r="C7" s="89" t="str">
        <f t="shared" si="0"/>
        <v>SHT</v>
      </c>
      <c r="D7" s="90">
        <v>8623.5416666666642</v>
      </c>
      <c r="E7" s="91">
        <v>9365025393</v>
      </c>
      <c r="F7" s="91"/>
      <c r="G7" s="91"/>
      <c r="H7" s="87"/>
    </row>
    <row r="8" spans="1:8" ht="15.75" customHeight="1" x14ac:dyDescent="0.35">
      <c r="A8" s="89" t="s">
        <v>33</v>
      </c>
      <c r="B8" s="89" t="s">
        <v>190</v>
      </c>
      <c r="C8" s="89" t="str">
        <f t="shared" si="0"/>
        <v>SHT</v>
      </c>
      <c r="D8" s="90">
        <v>8479.1666666666642</v>
      </c>
      <c r="E8" s="89" t="s">
        <v>188</v>
      </c>
      <c r="F8" s="91"/>
      <c r="G8" s="91"/>
      <c r="H8" s="87"/>
    </row>
    <row r="9" spans="1:8" ht="15.75" customHeight="1" x14ac:dyDescent="0.35">
      <c r="A9" s="89" t="s">
        <v>40</v>
      </c>
      <c r="B9" s="89" t="s">
        <v>191</v>
      </c>
      <c r="C9" s="89" t="str">
        <f t="shared" si="0"/>
        <v>HLP</v>
      </c>
      <c r="D9" s="90">
        <v>6898.8333333333312</v>
      </c>
      <c r="E9" s="89" t="s">
        <v>186</v>
      </c>
      <c r="F9" s="91"/>
      <c r="G9" s="91"/>
      <c r="H9" s="87"/>
    </row>
    <row r="10" spans="1:8" ht="15.75" customHeight="1" x14ac:dyDescent="0.35">
      <c r="A10" s="89" t="s">
        <v>51</v>
      </c>
      <c r="B10" s="89" t="s">
        <v>52</v>
      </c>
      <c r="C10" s="89" t="str">
        <f t="shared" si="0"/>
        <v>PTR</v>
      </c>
      <c r="D10" s="90"/>
      <c r="E10" s="89"/>
      <c r="F10" s="91"/>
      <c r="G10" s="91"/>
      <c r="H10" s="87"/>
    </row>
    <row r="11" spans="1:8" ht="15.75" customHeight="1" x14ac:dyDescent="0.35">
      <c r="A11" s="89" t="s">
        <v>57</v>
      </c>
      <c r="B11" s="89" t="s">
        <v>192</v>
      </c>
      <c r="C11" s="89" t="str">
        <f t="shared" si="0"/>
        <v>HLP</v>
      </c>
      <c r="D11" s="90">
        <v>6266.6666666666652</v>
      </c>
      <c r="E11" s="91" t="s">
        <v>308</v>
      </c>
      <c r="F11" s="91"/>
      <c r="G11" s="91"/>
      <c r="H11" s="87"/>
    </row>
    <row r="12" spans="1:8" ht="15.75" customHeight="1" x14ac:dyDescent="0.35">
      <c r="A12" s="89" t="s">
        <v>59</v>
      </c>
      <c r="B12" s="89" t="s">
        <v>193</v>
      </c>
      <c r="C12" s="89" t="str">
        <f t="shared" si="0"/>
        <v>HLP</v>
      </c>
      <c r="D12" s="90">
        <v>7791.6666666666642</v>
      </c>
      <c r="E12" s="91" t="s">
        <v>308</v>
      </c>
      <c r="F12" s="91"/>
      <c r="G12" s="91"/>
      <c r="H12" s="87"/>
    </row>
    <row r="13" spans="1:8" ht="15.75" customHeight="1" x14ac:dyDescent="0.35">
      <c r="A13" s="89" t="s">
        <v>61</v>
      </c>
      <c r="B13" s="89" t="s">
        <v>194</v>
      </c>
      <c r="C13" s="89" t="str">
        <f t="shared" si="0"/>
        <v>HLP</v>
      </c>
      <c r="D13" s="90">
        <v>7729.1666666666642</v>
      </c>
      <c r="E13" s="91">
        <v>6297353078</v>
      </c>
      <c r="F13" s="91"/>
      <c r="G13" s="91"/>
      <c r="H13" s="87"/>
    </row>
    <row r="14" spans="1:8" ht="15.75" customHeight="1" x14ac:dyDescent="0.35">
      <c r="A14" s="89" t="s">
        <v>64</v>
      </c>
      <c r="B14" s="89" t="s">
        <v>195</v>
      </c>
      <c r="C14" s="89" t="str">
        <f t="shared" si="0"/>
        <v>HLP</v>
      </c>
      <c r="D14" s="90">
        <v>6266.6666666666652</v>
      </c>
      <c r="E14" s="91" t="s">
        <v>308</v>
      </c>
      <c r="F14" s="91"/>
      <c r="G14" s="91"/>
      <c r="H14" s="87"/>
    </row>
    <row r="15" spans="1:8" ht="15.75" customHeight="1" x14ac:dyDescent="0.35">
      <c r="A15" s="89" t="s">
        <v>196</v>
      </c>
      <c r="B15" s="89" t="s">
        <v>197</v>
      </c>
      <c r="C15" s="89" t="str">
        <f t="shared" si="0"/>
        <v>SHT</v>
      </c>
      <c r="D15" s="90">
        <v>7831.2499999999982</v>
      </c>
      <c r="E15" s="91"/>
      <c r="F15" s="91"/>
      <c r="G15" s="91"/>
      <c r="H15" s="87"/>
    </row>
    <row r="16" spans="1:8" ht="15.75" customHeight="1" x14ac:dyDescent="0.35">
      <c r="A16" s="89" t="s">
        <v>198</v>
      </c>
      <c r="B16" s="89" t="s">
        <v>199</v>
      </c>
      <c r="C16" s="89" t="str">
        <f t="shared" si="0"/>
        <v>SHT</v>
      </c>
      <c r="D16" s="90">
        <v>7879.1666666666642</v>
      </c>
      <c r="E16" s="91" t="s">
        <v>308</v>
      </c>
      <c r="F16" s="91"/>
      <c r="G16" s="91"/>
      <c r="H16" s="87"/>
    </row>
    <row r="17" spans="1:8" ht="15.75" customHeight="1" x14ac:dyDescent="0.35">
      <c r="A17" s="89" t="s">
        <v>200</v>
      </c>
      <c r="B17" s="89" t="s">
        <v>201</v>
      </c>
      <c r="C17" s="89" t="str">
        <f t="shared" si="0"/>
        <v>SHT</v>
      </c>
      <c r="D17" s="90">
        <v>7781.2499999999973</v>
      </c>
      <c r="E17" s="91" t="s">
        <v>308</v>
      </c>
      <c r="F17" s="91"/>
      <c r="G17" s="91"/>
      <c r="H17" s="87"/>
    </row>
    <row r="18" spans="1:8" ht="15.75" customHeight="1" x14ac:dyDescent="0.35">
      <c r="A18" s="89" t="s">
        <v>202</v>
      </c>
      <c r="B18" s="89" t="s">
        <v>203</v>
      </c>
      <c r="C18" s="89" t="str">
        <f t="shared" si="0"/>
        <v>MSN</v>
      </c>
      <c r="D18" s="90">
        <v>6520.8333333333312</v>
      </c>
      <c r="E18" s="91" t="s">
        <v>308</v>
      </c>
      <c r="F18" s="91"/>
      <c r="G18" s="91">
        <v>7602421563</v>
      </c>
      <c r="H18" s="87"/>
    </row>
    <row r="19" spans="1:8" ht="15.75" customHeight="1" x14ac:dyDescent="0.35">
      <c r="A19" s="89" t="s">
        <v>204</v>
      </c>
      <c r="B19" s="89" t="s">
        <v>205</v>
      </c>
      <c r="C19" s="89" t="str">
        <f t="shared" si="0"/>
        <v>HLP</v>
      </c>
      <c r="D19" s="90">
        <v>6049.9999999999982</v>
      </c>
      <c r="E19" s="91" t="s">
        <v>308</v>
      </c>
      <c r="F19" s="91"/>
      <c r="G19" s="91"/>
      <c r="H19" s="87"/>
    </row>
    <row r="20" spans="1:8" ht="15.75" customHeight="1" x14ac:dyDescent="0.35">
      <c r="A20" s="89" t="s">
        <v>206</v>
      </c>
      <c r="B20" s="89" t="s">
        <v>207</v>
      </c>
      <c r="C20" s="89" t="str">
        <f t="shared" si="0"/>
        <v>SHT</v>
      </c>
      <c r="D20" s="90">
        <v>7822.9166666666642</v>
      </c>
      <c r="E20" s="91" t="s">
        <v>308</v>
      </c>
      <c r="F20" s="91"/>
      <c r="G20" s="91">
        <v>8653161637</v>
      </c>
      <c r="H20" s="87"/>
    </row>
    <row r="21" spans="1:8" ht="15.75" customHeight="1" x14ac:dyDescent="0.35">
      <c r="A21" s="89" t="s">
        <v>80</v>
      </c>
      <c r="B21" s="89" t="s">
        <v>208</v>
      </c>
      <c r="C21" s="89" t="str">
        <f t="shared" si="0"/>
        <v>HLP</v>
      </c>
      <c r="D21" s="90">
        <v>6283.3333333333321</v>
      </c>
      <c r="E21" s="91" t="s">
        <v>308</v>
      </c>
      <c r="F21" s="91"/>
      <c r="G21" s="91">
        <v>8942076822</v>
      </c>
      <c r="H21" s="87"/>
    </row>
    <row r="22" spans="1:8" ht="15.75" customHeight="1" x14ac:dyDescent="0.35">
      <c r="A22" s="89" t="s">
        <v>83</v>
      </c>
      <c r="B22" s="89" t="s">
        <v>209</v>
      </c>
      <c r="C22" s="89" t="str">
        <f t="shared" si="0"/>
        <v>HLP</v>
      </c>
      <c r="D22" s="90">
        <v>5149.9999999999991</v>
      </c>
      <c r="E22" s="91" t="s">
        <v>308</v>
      </c>
      <c r="F22" s="91"/>
      <c r="G22" s="91"/>
      <c r="H22" s="87"/>
    </row>
    <row r="23" spans="1:8" ht="15.75" customHeight="1" x14ac:dyDescent="0.35">
      <c r="A23" s="89" t="s">
        <v>85</v>
      </c>
      <c r="B23" s="89" t="s">
        <v>210</v>
      </c>
      <c r="C23" s="89" t="str">
        <f t="shared" si="0"/>
        <v>HLP</v>
      </c>
      <c r="D23" s="90">
        <v>5216.6666666666652</v>
      </c>
      <c r="E23" s="91"/>
      <c r="F23" s="91"/>
      <c r="G23" s="91"/>
      <c r="H23" s="87"/>
    </row>
    <row r="24" spans="1:8" ht="15.75" customHeight="1" x14ac:dyDescent="0.35">
      <c r="A24" s="89" t="s">
        <v>87</v>
      </c>
      <c r="B24" s="89" t="s">
        <v>211</v>
      </c>
      <c r="C24" s="89" t="str">
        <f t="shared" si="0"/>
        <v>HLP</v>
      </c>
      <c r="D24" s="90">
        <v>6271.6666666666652</v>
      </c>
      <c r="E24" s="89" t="s">
        <v>188</v>
      </c>
      <c r="F24" s="91"/>
      <c r="G24" s="91"/>
      <c r="H24" s="87"/>
    </row>
    <row r="25" spans="1:8" ht="15.75" customHeight="1" x14ac:dyDescent="0.35">
      <c r="A25" s="89" t="s">
        <v>90</v>
      </c>
      <c r="B25" s="89" t="s">
        <v>212</v>
      </c>
      <c r="C25" s="89" t="str">
        <f t="shared" si="0"/>
        <v>HLP</v>
      </c>
      <c r="D25" s="90">
        <v>6304.9999999999982</v>
      </c>
      <c r="E25" s="91">
        <v>9365547661</v>
      </c>
      <c r="F25" s="91"/>
      <c r="G25" s="91"/>
      <c r="H25" s="87"/>
    </row>
    <row r="26" spans="1:8" ht="15.75" customHeight="1" x14ac:dyDescent="0.35">
      <c r="A26" s="89" t="s">
        <v>213</v>
      </c>
      <c r="B26" s="89" t="s">
        <v>214</v>
      </c>
      <c r="C26" s="89" t="str">
        <f t="shared" si="0"/>
        <v>HLP</v>
      </c>
      <c r="D26" s="90">
        <v>7003.3333333333321</v>
      </c>
      <c r="E26" s="91">
        <v>9864962155</v>
      </c>
      <c r="F26" s="91"/>
      <c r="G26" s="91"/>
      <c r="H26" s="87"/>
    </row>
    <row r="27" spans="1:8" ht="15.75" customHeight="1" x14ac:dyDescent="0.35">
      <c r="A27" s="89" t="s">
        <v>215</v>
      </c>
      <c r="B27" s="89" t="s">
        <v>216</v>
      </c>
      <c r="C27" s="89" t="str">
        <f t="shared" si="0"/>
        <v>HLP</v>
      </c>
      <c r="D27" s="90">
        <v>6893.3333333333312</v>
      </c>
      <c r="E27" s="91" t="s">
        <v>309</v>
      </c>
      <c r="F27" s="91"/>
      <c r="G27" s="91"/>
      <c r="H27" s="87"/>
    </row>
    <row r="28" spans="1:8" ht="15.75" customHeight="1" x14ac:dyDescent="0.35">
      <c r="A28" s="89" t="s">
        <v>217</v>
      </c>
      <c r="B28" s="89" t="s">
        <v>218</v>
      </c>
      <c r="C28" s="89" t="str">
        <f t="shared" si="0"/>
        <v>HLP</v>
      </c>
      <c r="D28" s="90">
        <v>6266.6666666666652</v>
      </c>
      <c r="E28" s="89" t="s">
        <v>188</v>
      </c>
      <c r="F28" s="91"/>
      <c r="G28" s="91"/>
      <c r="H28" s="87"/>
    </row>
    <row r="29" spans="1:8" ht="15.75" customHeight="1" x14ac:dyDescent="0.35">
      <c r="A29" s="89" t="s">
        <v>219</v>
      </c>
      <c r="B29" s="89" t="s">
        <v>220</v>
      </c>
      <c r="C29" s="89" t="str">
        <f t="shared" si="0"/>
        <v>SHT</v>
      </c>
      <c r="D29" s="90">
        <v>8621.2499999999982</v>
      </c>
      <c r="E29" s="91"/>
      <c r="F29" s="91" t="s">
        <v>310</v>
      </c>
      <c r="G29" s="91"/>
      <c r="H29" s="87"/>
    </row>
    <row r="30" spans="1:8" ht="15.75" customHeight="1" x14ac:dyDescent="0.35">
      <c r="A30" s="91" t="s">
        <v>242</v>
      </c>
      <c r="B30" s="91" t="s">
        <v>243</v>
      </c>
      <c r="C30" s="89" t="str">
        <f t="shared" si="0"/>
        <v>MSN</v>
      </c>
      <c r="D30" s="90">
        <v>5999.9999999999973</v>
      </c>
      <c r="E30" s="91"/>
      <c r="F30" s="91"/>
      <c r="G30" s="91"/>
    </row>
    <row r="31" spans="1:8" ht="15.75" customHeight="1" x14ac:dyDescent="0.35">
      <c r="A31" s="91" t="s">
        <v>244</v>
      </c>
      <c r="B31" s="91" t="s">
        <v>245</v>
      </c>
      <c r="C31" s="89" t="str">
        <f t="shared" si="0"/>
        <v>MSN</v>
      </c>
      <c r="D31" s="90">
        <v>4999.9999999999982</v>
      </c>
      <c r="E31" s="91"/>
      <c r="F31" s="91"/>
      <c r="G31" s="91"/>
    </row>
    <row r="32" spans="1:8" ht="15.75" customHeight="1" x14ac:dyDescent="0.35">
      <c r="A32" s="91" t="s">
        <v>246</v>
      </c>
      <c r="B32" s="91" t="s">
        <v>247</v>
      </c>
      <c r="C32" s="89" t="str">
        <f t="shared" si="0"/>
        <v>HLP</v>
      </c>
      <c r="D32" s="90">
        <v>2399.9999999999991</v>
      </c>
      <c r="E32" s="91"/>
      <c r="F32" s="91"/>
      <c r="G32" s="91"/>
    </row>
    <row r="33" spans="1:7" ht="15.75" customHeight="1" x14ac:dyDescent="0.35">
      <c r="A33" s="91" t="s">
        <v>221</v>
      </c>
      <c r="B33" s="92" t="s">
        <v>123</v>
      </c>
      <c r="C33" s="89" t="str">
        <f t="shared" si="0"/>
        <v>FBW</v>
      </c>
      <c r="E33" s="91"/>
      <c r="F33" s="91"/>
      <c r="G33" s="91"/>
    </row>
    <row r="34" spans="1:7" ht="15.75" customHeight="1" x14ac:dyDescent="0.35">
      <c r="A34" s="91" t="s">
        <v>248</v>
      </c>
      <c r="B34" s="92" t="s">
        <v>135</v>
      </c>
      <c r="C34" s="89" t="str">
        <f t="shared" si="0"/>
        <v>MSN</v>
      </c>
      <c r="D34" s="90">
        <v>5999.9999999999973</v>
      </c>
      <c r="E34" s="91"/>
      <c r="F34" s="91"/>
      <c r="G34" s="91"/>
    </row>
    <row r="35" spans="1:7" ht="15.75" customHeight="1" x14ac:dyDescent="0.35">
      <c r="A35" s="91" t="s">
        <v>249</v>
      </c>
      <c r="B35" s="92" t="s">
        <v>136</v>
      </c>
      <c r="C35" s="89" t="str">
        <f t="shared" si="0"/>
        <v>HLP</v>
      </c>
      <c r="D35" s="90">
        <v>4799.9999999999982</v>
      </c>
      <c r="E35" s="91"/>
      <c r="F35" s="91"/>
      <c r="G35" s="91"/>
    </row>
    <row r="36" spans="1:7" ht="15.75" customHeight="1" x14ac:dyDescent="0.35">
      <c r="A36" s="91" t="s">
        <v>250</v>
      </c>
      <c r="B36" s="92" t="s">
        <v>137</v>
      </c>
      <c r="C36" s="89" t="str">
        <f t="shared" si="0"/>
        <v>HLP</v>
      </c>
      <c r="D36" s="90">
        <v>3199.9999999999986</v>
      </c>
      <c r="E36" s="93"/>
      <c r="F36" s="91"/>
      <c r="G36" s="91"/>
    </row>
    <row r="37" spans="1:7" ht="23.25" x14ac:dyDescent="0.35">
      <c r="C37" s="94" t="s">
        <v>311</v>
      </c>
      <c r="D37" s="95">
        <f>SUM(D2:D36)</f>
        <v>214235.49999999997</v>
      </c>
    </row>
    <row r="117" spans="1:3" ht="12.75" x14ac:dyDescent="0.2">
      <c r="A117" s="96" t="s">
        <v>4</v>
      </c>
      <c r="B117" s="10" t="s">
        <v>5</v>
      </c>
      <c r="C117" s="10" t="s">
        <v>8</v>
      </c>
    </row>
    <row r="118" spans="1:3" ht="12.75" x14ac:dyDescent="0.2">
      <c r="A118" s="10" t="s">
        <v>14</v>
      </c>
      <c r="B118" s="10" t="s">
        <v>290</v>
      </c>
      <c r="C118" s="10" t="s">
        <v>16</v>
      </c>
    </row>
    <row r="119" spans="1:3" ht="12.75" x14ac:dyDescent="0.2">
      <c r="A119" s="10" t="s">
        <v>22</v>
      </c>
      <c r="B119" s="10" t="s">
        <v>23</v>
      </c>
      <c r="C119" s="10" t="s">
        <v>110</v>
      </c>
    </row>
    <row r="120" spans="1:3" ht="12.75" x14ac:dyDescent="0.2">
      <c r="A120" s="10" t="s">
        <v>24</v>
      </c>
      <c r="B120" s="10" t="s">
        <v>25</v>
      </c>
      <c r="C120" s="10" t="s">
        <v>301</v>
      </c>
    </row>
    <row r="121" spans="1:3" ht="12.75" x14ac:dyDescent="0.2">
      <c r="A121" s="10" t="s">
        <v>28</v>
      </c>
      <c r="B121" s="10" t="s">
        <v>29</v>
      </c>
      <c r="C121" s="10" t="s">
        <v>301</v>
      </c>
    </row>
    <row r="122" spans="1:3" ht="12.75" x14ac:dyDescent="0.2">
      <c r="A122" s="10" t="s">
        <v>31</v>
      </c>
      <c r="B122" s="10" t="s">
        <v>32</v>
      </c>
      <c r="C122" s="10" t="s">
        <v>16</v>
      </c>
    </row>
    <row r="123" spans="1:3" ht="12.75" x14ac:dyDescent="0.2">
      <c r="A123" s="10" t="s">
        <v>33</v>
      </c>
      <c r="B123" s="10" t="s">
        <v>34</v>
      </c>
      <c r="C123" s="10" t="s">
        <v>16</v>
      </c>
    </row>
    <row r="124" spans="1:3" ht="12.75" x14ac:dyDescent="0.2">
      <c r="A124" s="10" t="s">
        <v>40</v>
      </c>
      <c r="B124" s="10" t="s">
        <v>41</v>
      </c>
      <c r="C124" s="10" t="s">
        <v>301</v>
      </c>
    </row>
    <row r="125" spans="1:3" ht="12.75" x14ac:dyDescent="0.2">
      <c r="A125" s="10" t="s">
        <v>57</v>
      </c>
      <c r="B125" s="10" t="s">
        <v>58</v>
      </c>
      <c r="C125" s="10" t="s">
        <v>301</v>
      </c>
    </row>
    <row r="126" spans="1:3" ht="12.75" x14ac:dyDescent="0.2">
      <c r="A126" s="10" t="s">
        <v>59</v>
      </c>
      <c r="B126" s="10" t="s">
        <v>60</v>
      </c>
      <c r="C126" s="10" t="s">
        <v>301</v>
      </c>
    </row>
    <row r="127" spans="1:3" ht="12.75" x14ac:dyDescent="0.2">
      <c r="A127" s="10" t="s">
        <v>61</v>
      </c>
      <c r="B127" s="10" t="s">
        <v>62</v>
      </c>
      <c r="C127" s="10" t="s">
        <v>301</v>
      </c>
    </row>
    <row r="128" spans="1:3" ht="12.75" x14ac:dyDescent="0.2">
      <c r="A128" s="10" t="s">
        <v>64</v>
      </c>
      <c r="B128" s="10" t="s">
        <v>112</v>
      </c>
      <c r="C128" s="10" t="s">
        <v>301</v>
      </c>
    </row>
    <row r="129" spans="1:4" ht="12.75" x14ac:dyDescent="0.2">
      <c r="A129" s="10" t="s">
        <v>196</v>
      </c>
      <c r="B129" s="10" t="s">
        <v>71</v>
      </c>
      <c r="C129" s="10" t="s">
        <v>16</v>
      </c>
    </row>
    <row r="130" spans="1:4" ht="12.75" x14ac:dyDescent="0.2">
      <c r="A130" s="10" t="s">
        <v>198</v>
      </c>
      <c r="B130" s="10" t="s">
        <v>74</v>
      </c>
      <c r="C130" s="10" t="s">
        <v>16</v>
      </c>
      <c r="D130" s="97"/>
    </row>
    <row r="131" spans="1:4" ht="12.75" x14ac:dyDescent="0.2">
      <c r="A131" s="10" t="s">
        <v>200</v>
      </c>
      <c r="B131" s="10" t="s">
        <v>86</v>
      </c>
      <c r="C131" s="10" t="s">
        <v>16</v>
      </c>
      <c r="D131" s="97"/>
    </row>
    <row r="132" spans="1:4" ht="12.75" x14ac:dyDescent="0.2">
      <c r="A132" s="10" t="s">
        <v>202</v>
      </c>
      <c r="B132" s="10" t="s">
        <v>76</v>
      </c>
      <c r="C132" s="10" t="s">
        <v>110</v>
      </c>
      <c r="D132" s="97"/>
    </row>
    <row r="133" spans="1:4" ht="12.75" x14ac:dyDescent="0.2">
      <c r="A133" s="10" t="s">
        <v>204</v>
      </c>
      <c r="B133" s="10" t="s">
        <v>79</v>
      </c>
      <c r="C133" s="10" t="s">
        <v>111</v>
      </c>
      <c r="D133" s="97"/>
    </row>
    <row r="134" spans="1:4" ht="12.75" x14ac:dyDescent="0.2">
      <c r="A134" s="10" t="s">
        <v>206</v>
      </c>
      <c r="B134" s="10" t="s">
        <v>81</v>
      </c>
      <c r="C134" s="10" t="s">
        <v>16</v>
      </c>
    </row>
    <row r="135" spans="1:4" ht="12.75" x14ac:dyDescent="0.2">
      <c r="A135" s="10" t="s">
        <v>80</v>
      </c>
      <c r="B135" s="10" t="s">
        <v>84</v>
      </c>
      <c r="C135" s="10" t="s">
        <v>111</v>
      </c>
      <c r="D135" s="97"/>
    </row>
    <row r="136" spans="1:4" ht="12.75" x14ac:dyDescent="0.2">
      <c r="A136" s="10" t="s">
        <v>83</v>
      </c>
      <c r="B136" s="10" t="s">
        <v>88</v>
      </c>
      <c r="C136" s="10" t="s">
        <v>111</v>
      </c>
    </row>
    <row r="137" spans="1:4" ht="12.75" x14ac:dyDescent="0.2">
      <c r="A137" s="10" t="s">
        <v>85</v>
      </c>
      <c r="B137" s="10" t="s">
        <v>91</v>
      </c>
      <c r="C137" s="10" t="s">
        <v>111</v>
      </c>
    </row>
    <row r="138" spans="1:4" ht="12.75" x14ac:dyDescent="0.2">
      <c r="A138" s="10" t="s">
        <v>87</v>
      </c>
      <c r="B138" s="10" t="s">
        <v>113</v>
      </c>
      <c r="C138" s="10" t="s">
        <v>111</v>
      </c>
      <c r="D138" s="97"/>
    </row>
    <row r="139" spans="1:4" ht="12.75" x14ac:dyDescent="0.2">
      <c r="A139" s="10" t="s">
        <v>90</v>
      </c>
      <c r="B139" s="98" t="s">
        <v>114</v>
      </c>
      <c r="C139" s="10" t="s">
        <v>111</v>
      </c>
      <c r="D139" s="97"/>
    </row>
    <row r="140" spans="1:4" ht="12.75" x14ac:dyDescent="0.2">
      <c r="A140" s="10" t="s">
        <v>213</v>
      </c>
      <c r="B140" s="98" t="s">
        <v>115</v>
      </c>
      <c r="C140" s="10" t="s">
        <v>111</v>
      </c>
      <c r="D140" s="97"/>
    </row>
    <row r="141" spans="1:4" ht="12.75" x14ac:dyDescent="0.2">
      <c r="A141" s="10" t="s">
        <v>215</v>
      </c>
      <c r="B141" s="98" t="s">
        <v>116</v>
      </c>
      <c r="C141" s="10" t="s">
        <v>111</v>
      </c>
      <c r="D141" s="97"/>
    </row>
    <row r="142" spans="1:4" ht="12.75" x14ac:dyDescent="0.2">
      <c r="A142" s="10" t="s">
        <v>217</v>
      </c>
      <c r="B142" s="98" t="s">
        <v>117</v>
      </c>
      <c r="C142" s="10" t="s">
        <v>111</v>
      </c>
      <c r="D142" s="97"/>
    </row>
    <row r="143" spans="1:4" ht="12.75" x14ac:dyDescent="0.2">
      <c r="A143" s="10" t="s">
        <v>219</v>
      </c>
      <c r="B143" s="98" t="s">
        <v>118</v>
      </c>
      <c r="C143" s="10" t="s">
        <v>16</v>
      </c>
      <c r="D143" s="97"/>
    </row>
    <row r="144" spans="1:4" ht="12.75" x14ac:dyDescent="0.2">
      <c r="A144" s="10" t="s">
        <v>242</v>
      </c>
      <c r="B144" s="98" t="s">
        <v>119</v>
      </c>
      <c r="C144" s="10" t="s">
        <v>110</v>
      </c>
      <c r="D144" s="97"/>
    </row>
    <row r="145" spans="1:4" ht="12.75" x14ac:dyDescent="0.2">
      <c r="A145" s="10" t="s">
        <v>244</v>
      </c>
      <c r="B145" s="98" t="s">
        <v>121</v>
      </c>
      <c r="C145" s="10" t="s">
        <v>110</v>
      </c>
      <c r="D145" s="97"/>
    </row>
    <row r="146" spans="1:4" ht="12.75" x14ac:dyDescent="0.2">
      <c r="A146" s="10" t="s">
        <v>246</v>
      </c>
      <c r="B146" s="98" t="s">
        <v>122</v>
      </c>
      <c r="C146" s="10" t="s">
        <v>111</v>
      </c>
      <c r="D146" s="97"/>
    </row>
    <row r="147" spans="1:4" ht="12.75" x14ac:dyDescent="0.2">
      <c r="A147" s="10" t="s">
        <v>221</v>
      </c>
      <c r="B147" s="98" t="s">
        <v>123</v>
      </c>
      <c r="C147" s="10" t="s">
        <v>8</v>
      </c>
    </row>
    <row r="148" spans="1:4" ht="12.75" x14ac:dyDescent="0.2">
      <c r="A148" s="10" t="s">
        <v>312</v>
      </c>
      <c r="B148" s="98" t="s">
        <v>124</v>
      </c>
      <c r="C148" s="10" t="s">
        <v>110</v>
      </c>
      <c r="D148" s="97"/>
    </row>
    <row r="149" spans="1:4" ht="12.75" x14ac:dyDescent="0.2">
      <c r="A149" s="10" t="s">
        <v>313</v>
      </c>
      <c r="B149" s="98" t="s">
        <v>125</v>
      </c>
      <c r="C149" s="10" t="s">
        <v>111</v>
      </c>
      <c r="D149" s="97"/>
    </row>
    <row r="150" spans="1:4" ht="12.75" x14ac:dyDescent="0.2">
      <c r="A150" s="10" t="s">
        <v>314</v>
      </c>
      <c r="B150" s="98" t="s">
        <v>126</v>
      </c>
      <c r="C150" s="10" t="s">
        <v>110</v>
      </c>
      <c r="D150" s="97"/>
    </row>
    <row r="151" spans="1:4" ht="12.75" x14ac:dyDescent="0.2">
      <c r="A151" s="10" t="s">
        <v>315</v>
      </c>
      <c r="B151" s="98" t="s">
        <v>127</v>
      </c>
      <c r="C151" s="10" t="s">
        <v>110</v>
      </c>
      <c r="D151" s="97"/>
    </row>
    <row r="152" spans="1:4" ht="12.75" x14ac:dyDescent="0.2">
      <c r="A152" s="10" t="s">
        <v>316</v>
      </c>
      <c r="B152" s="98" t="s">
        <v>128</v>
      </c>
      <c r="C152" s="10" t="s">
        <v>16</v>
      </c>
      <c r="D152" s="97"/>
    </row>
    <row r="153" spans="1:4" ht="12.75" x14ac:dyDescent="0.2">
      <c r="A153" s="10" t="s">
        <v>317</v>
      </c>
      <c r="B153" s="98" t="s">
        <v>129</v>
      </c>
      <c r="C153" s="10" t="s">
        <v>110</v>
      </c>
      <c r="D153" s="97"/>
    </row>
    <row r="154" spans="1:4" ht="12.75" x14ac:dyDescent="0.2">
      <c r="A154" s="10" t="s">
        <v>318</v>
      </c>
      <c r="B154" s="98" t="s">
        <v>130</v>
      </c>
      <c r="C154" s="10" t="s">
        <v>110</v>
      </c>
      <c r="D154" s="97"/>
    </row>
    <row r="155" spans="1:4" ht="12.75" x14ac:dyDescent="0.2">
      <c r="A155" s="10" t="s">
        <v>319</v>
      </c>
      <c r="B155" s="98" t="s">
        <v>131</v>
      </c>
      <c r="C155" s="10" t="s">
        <v>110</v>
      </c>
      <c r="D155" s="97"/>
    </row>
    <row r="156" spans="1:4" ht="12.75" x14ac:dyDescent="0.2">
      <c r="A156" s="10" t="s">
        <v>222</v>
      </c>
      <c r="B156" s="98" t="s">
        <v>320</v>
      </c>
      <c r="C156" s="10" t="s">
        <v>16</v>
      </c>
      <c r="D156" s="97"/>
    </row>
    <row r="157" spans="1:4" ht="12.75" x14ac:dyDescent="0.2">
      <c r="A157" s="10" t="s">
        <v>321</v>
      </c>
      <c r="B157" s="98" t="s">
        <v>133</v>
      </c>
      <c r="C157" s="10" t="s">
        <v>111</v>
      </c>
      <c r="D157" s="97"/>
    </row>
    <row r="158" spans="1:4" ht="12.75" x14ac:dyDescent="0.2">
      <c r="A158" s="10" t="s">
        <v>322</v>
      </c>
      <c r="B158" s="98" t="s">
        <v>134</v>
      </c>
      <c r="C158" s="10" t="s">
        <v>110</v>
      </c>
      <c r="D158" s="97"/>
    </row>
    <row r="159" spans="1:4" ht="12.75" x14ac:dyDescent="0.2">
      <c r="B159" s="98"/>
      <c r="D159" s="9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3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5703125" customWidth="1"/>
    <col min="2" max="2" width="21.42578125" customWidth="1"/>
    <col min="3" max="3" width="32.42578125" customWidth="1"/>
    <col min="4" max="4" width="31.7109375" customWidth="1"/>
    <col min="5" max="5" width="15.42578125" customWidth="1"/>
    <col min="8" max="9" width="22.28515625" customWidth="1"/>
    <col min="10" max="10" width="15.85546875" customWidth="1"/>
  </cols>
  <sheetData>
    <row r="1" spans="1:12" ht="22.5" customHeight="1" x14ac:dyDescent="0.2">
      <c r="A1" s="2" t="s">
        <v>93</v>
      </c>
      <c r="B1" s="2" t="s">
        <v>94</v>
      </c>
      <c r="C1" s="2" t="s">
        <v>102</v>
      </c>
      <c r="D1" s="2" t="s">
        <v>323</v>
      </c>
      <c r="E1" s="2" t="s">
        <v>324</v>
      </c>
      <c r="F1" s="2" t="s">
        <v>325</v>
      </c>
      <c r="G1" s="2" t="s">
        <v>98</v>
      </c>
      <c r="H1" s="2" t="s">
        <v>326</v>
      </c>
      <c r="I1" s="2" t="s">
        <v>0</v>
      </c>
      <c r="J1" s="2" t="s">
        <v>96</v>
      </c>
      <c r="K1" s="2" t="s">
        <v>1</v>
      </c>
      <c r="L1" s="1" t="s">
        <v>327</v>
      </c>
    </row>
    <row r="2" spans="1:12" ht="22.5" customHeight="1" x14ac:dyDescent="0.2">
      <c r="A2" s="99" t="s">
        <v>24</v>
      </c>
      <c r="B2" s="100" t="s">
        <v>25</v>
      </c>
      <c r="C2" s="100" t="s">
        <v>27</v>
      </c>
      <c r="D2" s="100" t="s">
        <v>27</v>
      </c>
      <c r="E2" s="101">
        <v>274373348017</v>
      </c>
      <c r="F2" s="101">
        <v>274373348017</v>
      </c>
      <c r="G2" s="101">
        <v>38292655121</v>
      </c>
      <c r="H2" s="101">
        <v>38292655121</v>
      </c>
      <c r="I2" s="102">
        <v>35493</v>
      </c>
      <c r="J2" s="100" t="s">
        <v>328</v>
      </c>
      <c r="K2" s="103" t="s">
        <v>26</v>
      </c>
      <c r="L2" s="104" t="b">
        <v>1</v>
      </c>
    </row>
    <row r="3" spans="1:12" ht="22.5" customHeight="1" x14ac:dyDescent="0.2">
      <c r="A3" s="105" t="s">
        <v>28</v>
      </c>
      <c r="B3" s="106" t="s">
        <v>29</v>
      </c>
      <c r="C3" s="106" t="s">
        <v>30</v>
      </c>
      <c r="D3" s="106" t="s">
        <v>30</v>
      </c>
      <c r="E3" s="107">
        <v>236018001169</v>
      </c>
      <c r="F3" s="107">
        <v>236018001169</v>
      </c>
      <c r="G3" s="107">
        <v>38292625665</v>
      </c>
      <c r="H3" s="107">
        <v>38292625665</v>
      </c>
      <c r="I3" s="108">
        <v>36960</v>
      </c>
      <c r="J3" s="106" t="s">
        <v>328</v>
      </c>
      <c r="K3" s="109" t="s">
        <v>26</v>
      </c>
      <c r="L3" s="104" t="b">
        <v>1</v>
      </c>
    </row>
    <row r="4" spans="1:12" ht="22.5" customHeight="1" x14ac:dyDescent="0.2">
      <c r="A4" s="99" t="s">
        <v>31</v>
      </c>
      <c r="B4" s="100" t="s">
        <v>329</v>
      </c>
      <c r="C4" s="110"/>
      <c r="D4" s="110"/>
      <c r="E4" s="101">
        <v>320878568166</v>
      </c>
      <c r="F4" s="101">
        <v>320878568166</v>
      </c>
      <c r="G4" s="101">
        <v>38297405419</v>
      </c>
      <c r="H4" s="101">
        <v>38297405419</v>
      </c>
      <c r="I4" s="102">
        <v>32994</v>
      </c>
      <c r="J4" s="102">
        <v>46124</v>
      </c>
      <c r="K4" s="111" t="s">
        <v>330</v>
      </c>
      <c r="L4" s="104" t="b">
        <v>1</v>
      </c>
    </row>
    <row r="5" spans="1:12" ht="22.5" customHeight="1" x14ac:dyDescent="0.2">
      <c r="A5" s="105" t="s">
        <v>33</v>
      </c>
      <c r="B5" s="106" t="s">
        <v>34</v>
      </c>
      <c r="C5" s="112"/>
      <c r="D5" s="112"/>
      <c r="E5" s="107">
        <v>878880361893</v>
      </c>
      <c r="F5" s="107">
        <v>878880361893</v>
      </c>
      <c r="G5" s="107">
        <v>38297403598</v>
      </c>
      <c r="H5" s="107">
        <v>38297403598</v>
      </c>
      <c r="I5" s="108">
        <v>33239</v>
      </c>
      <c r="J5" s="108">
        <v>46124</v>
      </c>
      <c r="K5" s="113" t="s">
        <v>330</v>
      </c>
      <c r="L5" s="104" t="b">
        <v>1</v>
      </c>
    </row>
    <row r="6" spans="1:12" ht="22.5" customHeight="1" x14ac:dyDescent="0.2">
      <c r="A6" s="99" t="s">
        <v>40</v>
      </c>
      <c r="B6" s="100" t="s">
        <v>41</v>
      </c>
      <c r="C6" s="100" t="s">
        <v>43</v>
      </c>
      <c r="D6" s="100" t="s">
        <v>43</v>
      </c>
      <c r="E6" s="101">
        <v>377098645178</v>
      </c>
      <c r="F6" s="101">
        <v>377098645178</v>
      </c>
      <c r="G6" s="101">
        <v>38292663200</v>
      </c>
      <c r="H6" s="101">
        <v>38292663200</v>
      </c>
      <c r="I6" s="100" t="s">
        <v>42</v>
      </c>
      <c r="J6" s="100" t="s">
        <v>328</v>
      </c>
      <c r="K6" s="103" t="s">
        <v>26</v>
      </c>
      <c r="L6" s="104" t="b">
        <v>1</v>
      </c>
    </row>
    <row r="7" spans="1:12" ht="22.5" customHeight="1" x14ac:dyDescent="0.2">
      <c r="A7" s="105" t="s">
        <v>59</v>
      </c>
      <c r="B7" s="106" t="s">
        <v>60</v>
      </c>
      <c r="C7" s="106" t="s">
        <v>331</v>
      </c>
      <c r="D7" s="107"/>
      <c r="E7" s="107">
        <v>442533088219</v>
      </c>
      <c r="F7" s="107">
        <v>261839731813</v>
      </c>
      <c r="G7" s="107">
        <v>38292661502</v>
      </c>
      <c r="H7" s="107">
        <v>38302579768</v>
      </c>
      <c r="I7" s="108">
        <v>37257</v>
      </c>
      <c r="J7" s="106" t="s">
        <v>21</v>
      </c>
      <c r="K7" s="109" t="s">
        <v>26</v>
      </c>
      <c r="L7" s="104" t="b">
        <v>0</v>
      </c>
    </row>
    <row r="8" spans="1:12" ht="22.5" customHeight="1" x14ac:dyDescent="0.2">
      <c r="A8" s="99" t="s">
        <v>64</v>
      </c>
      <c r="B8" s="100" t="s">
        <v>112</v>
      </c>
      <c r="C8" s="100" t="s">
        <v>332</v>
      </c>
      <c r="D8" s="101"/>
      <c r="E8" s="101">
        <v>487232231268</v>
      </c>
      <c r="F8" s="101">
        <v>289558347230</v>
      </c>
      <c r="G8" s="101">
        <v>38292652156</v>
      </c>
      <c r="H8" s="101">
        <v>38302495416</v>
      </c>
      <c r="I8" s="102">
        <v>32669</v>
      </c>
      <c r="J8" s="106" t="s">
        <v>21</v>
      </c>
      <c r="K8" s="103" t="s">
        <v>26</v>
      </c>
      <c r="L8" s="104" t="b">
        <v>0</v>
      </c>
    </row>
    <row r="9" spans="1:12" ht="22.5" customHeight="1" x14ac:dyDescent="0.2">
      <c r="A9" s="105" t="s">
        <v>57</v>
      </c>
      <c r="B9" s="106" t="s">
        <v>58</v>
      </c>
      <c r="C9" s="106" t="s">
        <v>333</v>
      </c>
      <c r="D9" s="107"/>
      <c r="E9" s="107">
        <v>643329065997</v>
      </c>
      <c r="F9" s="107">
        <v>670509360960</v>
      </c>
      <c r="G9" s="107">
        <v>38292627409</v>
      </c>
      <c r="H9" s="107">
        <v>38302479207</v>
      </c>
      <c r="I9" s="108">
        <v>35769</v>
      </c>
      <c r="J9" s="106" t="s">
        <v>21</v>
      </c>
      <c r="K9" s="109" t="s">
        <v>26</v>
      </c>
      <c r="L9" s="104" t="b">
        <v>0</v>
      </c>
    </row>
    <row r="10" spans="1:12" ht="22.5" customHeight="1" x14ac:dyDescent="0.2">
      <c r="A10" s="99" t="s">
        <v>61</v>
      </c>
      <c r="B10" s="100" t="s">
        <v>62</v>
      </c>
      <c r="C10" s="100" t="s">
        <v>334</v>
      </c>
      <c r="D10" s="101"/>
      <c r="E10" s="101">
        <v>499581895781</v>
      </c>
      <c r="F10" s="101">
        <v>365006485557</v>
      </c>
      <c r="G10" s="101">
        <v>38292661502</v>
      </c>
      <c r="H10" s="100">
        <v>38302565809</v>
      </c>
      <c r="I10" s="100" t="s">
        <v>63</v>
      </c>
      <c r="J10" s="106" t="s">
        <v>21</v>
      </c>
      <c r="K10" s="103" t="s">
        <v>26</v>
      </c>
      <c r="L10" s="104" t="b">
        <v>0</v>
      </c>
    </row>
    <row r="11" spans="1:12" ht="22.5" customHeight="1" x14ac:dyDescent="0.2">
      <c r="A11" s="105" t="s">
        <v>80</v>
      </c>
      <c r="B11" s="106" t="s">
        <v>335</v>
      </c>
      <c r="C11" s="106" t="s">
        <v>336</v>
      </c>
      <c r="D11" s="107"/>
      <c r="E11" s="107">
        <v>390770513812</v>
      </c>
      <c r="F11" s="107">
        <v>494158010087</v>
      </c>
      <c r="G11" s="107">
        <v>38292651478</v>
      </c>
      <c r="H11" s="106">
        <v>38312246173</v>
      </c>
      <c r="I11" s="106" t="s">
        <v>82</v>
      </c>
      <c r="J11" s="106" t="s">
        <v>72</v>
      </c>
      <c r="K11" s="109" t="s">
        <v>26</v>
      </c>
      <c r="L11" s="104" t="b">
        <v>0</v>
      </c>
    </row>
    <row r="12" spans="1:12" ht="22.5" customHeight="1" x14ac:dyDescent="0.2">
      <c r="A12" s="99" t="s">
        <v>90</v>
      </c>
      <c r="B12" s="100" t="s">
        <v>91</v>
      </c>
      <c r="C12" s="110"/>
      <c r="D12" s="101"/>
      <c r="E12" s="101">
        <v>971358392135</v>
      </c>
      <c r="F12" s="101"/>
      <c r="G12" s="101">
        <v>38292634320</v>
      </c>
      <c r="H12" s="102"/>
      <c r="I12" s="102">
        <v>36892</v>
      </c>
      <c r="J12" s="100" t="s">
        <v>328</v>
      </c>
      <c r="K12" s="103" t="s">
        <v>26</v>
      </c>
      <c r="L12" s="104" t="b">
        <v>0</v>
      </c>
    </row>
    <row r="13" spans="1:12" ht="22.5" customHeight="1" x14ac:dyDescent="0.2">
      <c r="A13" s="105" t="s">
        <v>75</v>
      </c>
      <c r="B13" s="106" t="s">
        <v>76</v>
      </c>
      <c r="C13" s="106" t="s">
        <v>337</v>
      </c>
      <c r="D13" s="107"/>
      <c r="E13" s="107">
        <v>497746194726</v>
      </c>
      <c r="F13" s="107"/>
      <c r="G13" s="107">
        <v>38292651478</v>
      </c>
      <c r="H13" s="108"/>
      <c r="I13" s="108">
        <v>34368</v>
      </c>
      <c r="J13" s="106" t="s">
        <v>328</v>
      </c>
      <c r="K13" s="114" t="s">
        <v>338</v>
      </c>
      <c r="L13" s="104" t="b">
        <v>0</v>
      </c>
    </row>
    <row r="14" spans="1:12" ht="22.5" customHeight="1" x14ac:dyDescent="0.2">
      <c r="A14" s="99" t="s">
        <v>78</v>
      </c>
      <c r="B14" s="100" t="s">
        <v>339</v>
      </c>
      <c r="C14" s="100" t="s">
        <v>340</v>
      </c>
      <c r="D14" s="101"/>
      <c r="E14" s="101">
        <v>703668853760</v>
      </c>
      <c r="F14" s="101"/>
      <c r="G14" s="101">
        <v>38292629618</v>
      </c>
      <c r="H14" s="102"/>
      <c r="I14" s="102">
        <v>29221</v>
      </c>
      <c r="J14" s="100" t="s">
        <v>328</v>
      </c>
      <c r="K14" s="103" t="s">
        <v>26</v>
      </c>
      <c r="L14" s="104" t="b">
        <v>0</v>
      </c>
    </row>
    <row r="15" spans="1:12" ht="22.5" customHeight="1" x14ac:dyDescent="0.2">
      <c r="A15" s="105" t="s">
        <v>83</v>
      </c>
      <c r="B15" s="106" t="s">
        <v>84</v>
      </c>
      <c r="C15" s="106" t="s">
        <v>341</v>
      </c>
      <c r="D15" s="107"/>
      <c r="E15" s="107">
        <v>545939223126</v>
      </c>
      <c r="F15" s="107"/>
      <c r="G15" s="107">
        <v>38292633099</v>
      </c>
      <c r="H15" s="108"/>
      <c r="I15" s="108">
        <v>38323</v>
      </c>
      <c r="J15" s="106" t="s">
        <v>328</v>
      </c>
      <c r="K15" s="109" t="s">
        <v>26</v>
      </c>
      <c r="L15" s="104" t="b">
        <v>0</v>
      </c>
    </row>
    <row r="16" spans="1:12" ht="22.5" customHeight="1" x14ac:dyDescent="0.2">
      <c r="A16" s="99" t="s">
        <v>70</v>
      </c>
      <c r="B16" s="100" t="s">
        <v>71</v>
      </c>
      <c r="C16" s="110"/>
      <c r="D16" s="101"/>
      <c r="E16" s="101">
        <v>400454792617</v>
      </c>
      <c r="F16" s="101"/>
      <c r="G16" s="101">
        <v>38297402778</v>
      </c>
      <c r="H16" s="102"/>
      <c r="I16" s="102">
        <v>33970</v>
      </c>
      <c r="J16" s="102">
        <v>46124</v>
      </c>
      <c r="K16" s="111" t="s">
        <v>330</v>
      </c>
      <c r="L16" s="104" t="b">
        <v>0</v>
      </c>
    </row>
    <row r="17" spans="1:12" ht="22.5" customHeight="1" x14ac:dyDescent="0.2">
      <c r="A17" s="105" t="s">
        <v>73</v>
      </c>
      <c r="B17" s="106" t="s">
        <v>342</v>
      </c>
      <c r="C17" s="112"/>
      <c r="D17" s="107"/>
      <c r="E17" s="107">
        <v>315264319690</v>
      </c>
      <c r="F17" s="107"/>
      <c r="G17" s="107">
        <v>38297405419</v>
      </c>
      <c r="H17" s="108"/>
      <c r="I17" s="108">
        <v>33239</v>
      </c>
      <c r="J17" s="108">
        <v>46124</v>
      </c>
      <c r="K17" s="113" t="s">
        <v>330</v>
      </c>
      <c r="L17" s="104" t="b">
        <v>0</v>
      </c>
    </row>
    <row r="18" spans="1:12" ht="22.5" customHeight="1" x14ac:dyDescent="0.2">
      <c r="A18" s="99" t="s">
        <v>87</v>
      </c>
      <c r="B18" s="100" t="s">
        <v>88</v>
      </c>
      <c r="C18" s="110"/>
      <c r="D18" s="101"/>
      <c r="E18" s="101">
        <v>291992055620</v>
      </c>
      <c r="F18" s="101"/>
      <c r="G18" s="101">
        <v>38292651478</v>
      </c>
      <c r="H18" s="100"/>
      <c r="I18" s="100" t="s">
        <v>89</v>
      </c>
      <c r="J18" s="100" t="s">
        <v>328</v>
      </c>
      <c r="K18" s="103" t="s">
        <v>26</v>
      </c>
      <c r="L18" s="104" t="b">
        <v>0</v>
      </c>
    </row>
    <row r="19" spans="1:12" ht="22.5" customHeight="1" x14ac:dyDescent="0.2">
      <c r="A19" s="105" t="s">
        <v>85</v>
      </c>
      <c r="B19" s="106" t="s">
        <v>86</v>
      </c>
      <c r="C19" s="112"/>
      <c r="D19" s="107"/>
      <c r="E19" s="107">
        <v>754546597711</v>
      </c>
      <c r="F19" s="107"/>
      <c r="G19" s="107">
        <v>38292651478</v>
      </c>
      <c r="H19" s="108"/>
      <c r="I19" s="108">
        <v>35796</v>
      </c>
      <c r="J19" s="106" t="s">
        <v>328</v>
      </c>
      <c r="K19" s="109" t="s">
        <v>26</v>
      </c>
      <c r="L19" s="104" t="b">
        <v>0</v>
      </c>
    </row>
    <row r="20" spans="1:12" ht="22.5" customHeight="1" x14ac:dyDescent="0.2">
      <c r="A20" s="99" t="s">
        <v>9</v>
      </c>
      <c r="B20" s="100" t="s">
        <v>10</v>
      </c>
      <c r="C20" s="100" t="s">
        <v>343</v>
      </c>
      <c r="D20" s="101"/>
      <c r="E20" s="101">
        <v>240436906232</v>
      </c>
      <c r="F20" s="101"/>
      <c r="G20" s="101">
        <v>38292627409</v>
      </c>
      <c r="H20" s="100"/>
      <c r="I20" s="100" t="s">
        <v>11</v>
      </c>
      <c r="J20" s="102">
        <v>46124</v>
      </c>
      <c r="K20" s="115" t="s">
        <v>46</v>
      </c>
      <c r="L20" s="104" t="b">
        <v>0</v>
      </c>
    </row>
    <row r="21" spans="1:12" ht="22.5" customHeight="1" x14ac:dyDescent="0.2">
      <c r="A21" s="105" t="s">
        <v>14</v>
      </c>
      <c r="B21" s="106" t="s">
        <v>290</v>
      </c>
      <c r="C21" s="112"/>
      <c r="D21" s="107"/>
      <c r="E21" s="107">
        <v>540306385383</v>
      </c>
      <c r="F21" s="107"/>
      <c r="G21" s="107">
        <v>38297402778</v>
      </c>
      <c r="H21" s="108"/>
      <c r="I21" s="108">
        <v>33604</v>
      </c>
      <c r="J21" s="108">
        <v>46124</v>
      </c>
      <c r="K21" s="113" t="s">
        <v>330</v>
      </c>
      <c r="L21" s="104" t="b">
        <v>0</v>
      </c>
    </row>
    <row r="22" spans="1:12" ht="22.5" customHeight="1" x14ac:dyDescent="0.2">
      <c r="A22" s="99" t="s">
        <v>22</v>
      </c>
      <c r="B22" s="100" t="s">
        <v>23</v>
      </c>
      <c r="C22" s="100" t="s">
        <v>20</v>
      </c>
      <c r="D22" s="101"/>
      <c r="E22" s="101">
        <v>288820088923</v>
      </c>
      <c r="F22" s="101"/>
      <c r="G22" s="101">
        <v>38292651478</v>
      </c>
      <c r="H22" s="102"/>
      <c r="I22" s="102">
        <v>35343</v>
      </c>
      <c r="J22" s="100" t="s">
        <v>328</v>
      </c>
      <c r="K22" s="116" t="s">
        <v>338</v>
      </c>
      <c r="L22" s="104" t="b">
        <v>0</v>
      </c>
    </row>
    <row r="23" spans="1:12" ht="22.5" customHeight="1" x14ac:dyDescent="0.2">
      <c r="A23" s="105" t="s">
        <v>344</v>
      </c>
      <c r="B23" s="106" t="s">
        <v>118</v>
      </c>
      <c r="C23" s="112"/>
      <c r="D23" s="107"/>
      <c r="E23" s="107">
        <v>808986826500</v>
      </c>
      <c r="F23" s="107"/>
      <c r="G23" s="107">
        <v>38297402778</v>
      </c>
      <c r="H23" s="108"/>
      <c r="I23" s="108">
        <v>32939</v>
      </c>
      <c r="J23" s="108">
        <v>46124</v>
      </c>
      <c r="K23" s="113" t="s">
        <v>330</v>
      </c>
      <c r="L23" s="104" t="b">
        <v>0</v>
      </c>
    </row>
    <row r="24" spans="1:12" ht="22.5" customHeight="1" x14ac:dyDescent="0.2">
      <c r="A24" s="99" t="s">
        <v>345</v>
      </c>
      <c r="B24" s="100" t="s">
        <v>113</v>
      </c>
      <c r="C24" s="110"/>
      <c r="D24" s="101"/>
      <c r="E24" s="101">
        <v>798485906232</v>
      </c>
      <c r="F24" s="101"/>
      <c r="G24" s="101">
        <v>38292627409</v>
      </c>
      <c r="H24" s="110"/>
      <c r="I24" s="110"/>
      <c r="J24" s="100" t="s">
        <v>328</v>
      </c>
      <c r="K24" s="103" t="s">
        <v>26</v>
      </c>
      <c r="L24" s="104" t="b">
        <v>0</v>
      </c>
    </row>
    <row r="25" spans="1:12" ht="22.5" customHeight="1" x14ac:dyDescent="0.2">
      <c r="A25" s="105" t="s">
        <v>346</v>
      </c>
      <c r="B25" s="106" t="s">
        <v>114</v>
      </c>
      <c r="C25" s="106" t="s">
        <v>347</v>
      </c>
      <c r="D25" s="107"/>
      <c r="E25" s="107">
        <v>450436906232</v>
      </c>
      <c r="F25" s="107"/>
      <c r="G25" s="107">
        <v>38292627409</v>
      </c>
      <c r="H25" s="117"/>
      <c r="I25" s="117">
        <v>36810</v>
      </c>
      <c r="J25" s="106" t="s">
        <v>328</v>
      </c>
      <c r="K25" s="109" t="s">
        <v>26</v>
      </c>
      <c r="L25" s="104" t="b">
        <v>0</v>
      </c>
    </row>
    <row r="26" spans="1:12" ht="22.5" customHeight="1" x14ac:dyDescent="0.2">
      <c r="A26" s="99" t="s">
        <v>348</v>
      </c>
      <c r="B26" s="100" t="s">
        <v>115</v>
      </c>
      <c r="C26" s="100" t="s">
        <v>349</v>
      </c>
      <c r="D26" s="101"/>
      <c r="E26" s="101">
        <v>540436906232</v>
      </c>
      <c r="F26" s="101"/>
      <c r="G26" s="101">
        <v>38292627409</v>
      </c>
      <c r="H26" s="102"/>
      <c r="I26" s="102">
        <v>38872</v>
      </c>
      <c r="J26" s="100" t="s">
        <v>328</v>
      </c>
      <c r="K26" s="103" t="s">
        <v>26</v>
      </c>
      <c r="L26" s="104" t="b">
        <v>0</v>
      </c>
    </row>
    <row r="27" spans="1:12" ht="22.5" customHeight="1" x14ac:dyDescent="0.2">
      <c r="A27" s="105" t="s">
        <v>350</v>
      </c>
      <c r="B27" s="106" t="s">
        <v>116</v>
      </c>
      <c r="C27" s="112"/>
      <c r="D27" s="107"/>
      <c r="E27" s="107">
        <v>640436906232</v>
      </c>
      <c r="F27" s="107"/>
      <c r="G27" s="107">
        <v>38292627409</v>
      </c>
      <c r="H27" s="106"/>
      <c r="I27" s="106" t="s">
        <v>351</v>
      </c>
      <c r="J27" s="106" t="s">
        <v>328</v>
      </c>
      <c r="K27" s="109" t="s">
        <v>26</v>
      </c>
      <c r="L27" s="104" t="b">
        <v>0</v>
      </c>
    </row>
    <row r="28" spans="1:12" ht="22.5" customHeight="1" x14ac:dyDescent="0.2">
      <c r="A28" s="99" t="s">
        <v>350</v>
      </c>
      <c r="B28" s="100" t="s">
        <v>117</v>
      </c>
      <c r="C28" s="110"/>
      <c r="D28" s="101"/>
      <c r="E28" s="101">
        <v>640436906232</v>
      </c>
      <c r="F28" s="101"/>
      <c r="G28" s="101">
        <v>38292627409</v>
      </c>
      <c r="H28" s="100"/>
      <c r="I28" s="100" t="s">
        <v>351</v>
      </c>
      <c r="J28" s="100" t="s">
        <v>328</v>
      </c>
      <c r="K28" s="103" t="s">
        <v>26</v>
      </c>
      <c r="L28" s="104" t="b">
        <v>0</v>
      </c>
    </row>
    <row r="29" spans="1:12" ht="22.5" customHeight="1" x14ac:dyDescent="0.2">
      <c r="A29" s="105" t="s">
        <v>51</v>
      </c>
      <c r="B29" s="106" t="s">
        <v>52</v>
      </c>
      <c r="C29" s="112"/>
      <c r="D29" s="107"/>
      <c r="E29" s="107">
        <v>845260193166</v>
      </c>
      <c r="F29" s="112"/>
      <c r="G29" s="112"/>
      <c r="H29" s="106"/>
      <c r="I29" s="106" t="s">
        <v>53</v>
      </c>
      <c r="J29" s="106" t="s">
        <v>328</v>
      </c>
      <c r="K29" s="118" t="s">
        <v>54</v>
      </c>
      <c r="L29" s="104" t="b">
        <v>0</v>
      </c>
    </row>
    <row r="30" spans="1:12" ht="22.5" customHeight="1" x14ac:dyDescent="0.2">
      <c r="A30" s="119" t="s">
        <v>4</v>
      </c>
      <c r="B30" s="120" t="s">
        <v>5</v>
      </c>
      <c r="C30" s="121"/>
      <c r="D30" s="122"/>
      <c r="E30" s="122">
        <v>702581655026</v>
      </c>
      <c r="F30" s="121"/>
      <c r="G30" s="121"/>
      <c r="H30" s="120"/>
      <c r="I30" s="120" t="s">
        <v>7</v>
      </c>
      <c r="J30" s="120" t="s">
        <v>328</v>
      </c>
      <c r="K30" s="123" t="s">
        <v>8</v>
      </c>
      <c r="L30" s="104" t="b">
        <v>0</v>
      </c>
    </row>
  </sheetData>
  <dataValidations count="2">
    <dataValidation type="custom" allowBlank="1" showDropDown="1" sqref="E2:E30 G2:G30" xr:uid="{00000000-0002-0000-0600-000000000000}">
      <formula1>AND(ISNUMBER(E2),(NOT(OR(NOT(ISERROR(DATEVALUE(E2))), AND(ISNUMBER(E2), LEFT(CELL("format", E2))="D")))))</formula1>
    </dataValidation>
    <dataValidation type="list" allowBlank="1" showDropDown="1" showErrorMessage="1" sqref="K2:K30" xr:uid="{00000000-0002-0000-0600-000001000000}">
      <formula1>"GEN. HELPER,SHUTTERING MISTRY,MASON,SUPERVISOR,PAINTER,STEEL FABRICATOR"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3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.42578125" customWidth="1"/>
    <col min="2" max="2" width="21.85546875" customWidth="1"/>
    <col min="3" max="3" width="29.7109375" customWidth="1"/>
    <col min="4" max="4" width="29.28515625" customWidth="1"/>
    <col min="5" max="5" width="24" customWidth="1"/>
    <col min="7" max="7" width="16.42578125" customWidth="1"/>
    <col min="8" max="8" width="21.7109375" customWidth="1"/>
  </cols>
  <sheetData>
    <row r="1" spans="1:8" ht="22.5" customHeight="1" x14ac:dyDescent="0.25">
      <c r="A1" s="124" t="s">
        <v>93</v>
      </c>
      <c r="B1" s="124" t="s">
        <v>94</v>
      </c>
      <c r="C1" s="124" t="s">
        <v>102</v>
      </c>
      <c r="D1" s="124" t="s">
        <v>324</v>
      </c>
      <c r="E1" s="124" t="s">
        <v>98</v>
      </c>
      <c r="F1" s="124" t="s">
        <v>0</v>
      </c>
      <c r="G1" s="124" t="s">
        <v>96</v>
      </c>
      <c r="H1" s="124" t="s">
        <v>1</v>
      </c>
    </row>
    <row r="2" spans="1:8" ht="22.5" customHeight="1" x14ac:dyDescent="0.25">
      <c r="A2" s="125" t="s">
        <v>24</v>
      </c>
      <c r="B2" s="125" t="s">
        <v>25</v>
      </c>
      <c r="C2" s="125" t="s">
        <v>27</v>
      </c>
      <c r="D2" s="126">
        <v>274373348017</v>
      </c>
      <c r="E2" s="125">
        <v>38292655121</v>
      </c>
      <c r="F2" s="127">
        <v>35493</v>
      </c>
      <c r="G2" s="126" t="s">
        <v>328</v>
      </c>
      <c r="H2" s="125" t="s">
        <v>26</v>
      </c>
    </row>
    <row r="3" spans="1:8" ht="22.5" customHeight="1" x14ac:dyDescent="0.25">
      <c r="A3" s="125" t="s">
        <v>28</v>
      </c>
      <c r="B3" s="125" t="s">
        <v>29</v>
      </c>
      <c r="C3" s="125" t="s">
        <v>30</v>
      </c>
      <c r="D3" s="126">
        <v>236018001169</v>
      </c>
      <c r="E3" s="125">
        <v>38292625665</v>
      </c>
      <c r="F3" s="127">
        <v>36960</v>
      </c>
      <c r="G3" s="126" t="s">
        <v>328</v>
      </c>
      <c r="H3" s="125" t="s">
        <v>26</v>
      </c>
    </row>
    <row r="4" spans="1:8" ht="22.5" customHeight="1" x14ac:dyDescent="0.25">
      <c r="A4" s="125" t="s">
        <v>31</v>
      </c>
      <c r="B4" s="125" t="s">
        <v>329</v>
      </c>
      <c r="C4" s="125"/>
      <c r="D4" s="126">
        <v>320878568166</v>
      </c>
      <c r="E4" s="125">
        <v>38297405419</v>
      </c>
      <c r="F4" s="127">
        <v>32994</v>
      </c>
      <c r="G4" s="127">
        <v>46124</v>
      </c>
      <c r="H4" s="125" t="s">
        <v>330</v>
      </c>
    </row>
    <row r="5" spans="1:8" ht="22.5" customHeight="1" x14ac:dyDescent="0.25">
      <c r="A5" s="125" t="s">
        <v>33</v>
      </c>
      <c r="B5" s="125" t="s">
        <v>34</v>
      </c>
      <c r="C5" s="125"/>
      <c r="D5" s="126">
        <v>878880361893</v>
      </c>
      <c r="E5" s="125">
        <v>38297403598</v>
      </c>
      <c r="F5" s="127">
        <v>33239</v>
      </c>
      <c r="G5" s="127">
        <v>46124</v>
      </c>
      <c r="H5" s="125" t="s">
        <v>330</v>
      </c>
    </row>
    <row r="6" spans="1:8" ht="22.5" customHeight="1" x14ac:dyDescent="0.25">
      <c r="A6" s="125" t="s">
        <v>40</v>
      </c>
      <c r="B6" s="125" t="s">
        <v>41</v>
      </c>
      <c r="C6" s="125" t="s">
        <v>43</v>
      </c>
      <c r="D6" s="126">
        <v>377098645178</v>
      </c>
      <c r="E6" s="125">
        <v>38292663200</v>
      </c>
      <c r="F6" s="126" t="s">
        <v>42</v>
      </c>
      <c r="G6" s="126" t="s">
        <v>328</v>
      </c>
      <c r="H6" s="125" t="s">
        <v>26</v>
      </c>
    </row>
    <row r="7" spans="1:8" ht="22.5" customHeight="1" x14ac:dyDescent="0.25">
      <c r="A7" s="125" t="s">
        <v>59</v>
      </c>
      <c r="B7" s="125" t="s">
        <v>60</v>
      </c>
      <c r="C7" s="125"/>
      <c r="D7" s="126">
        <v>261839731813</v>
      </c>
      <c r="E7" s="125">
        <v>38302579768</v>
      </c>
      <c r="F7" s="127">
        <v>37257</v>
      </c>
      <c r="G7" s="126" t="s">
        <v>21</v>
      </c>
      <c r="H7" s="125" t="s">
        <v>26</v>
      </c>
    </row>
    <row r="8" spans="1:8" ht="22.5" customHeight="1" x14ac:dyDescent="0.25">
      <c r="A8" s="125" t="s">
        <v>64</v>
      </c>
      <c r="B8" s="125" t="s">
        <v>112</v>
      </c>
      <c r="C8" s="125"/>
      <c r="D8" s="126">
        <v>289558347230</v>
      </c>
      <c r="E8" s="125">
        <v>38302495416</v>
      </c>
      <c r="F8" s="127">
        <v>32669</v>
      </c>
      <c r="G8" s="126" t="s">
        <v>21</v>
      </c>
      <c r="H8" s="125" t="s">
        <v>26</v>
      </c>
    </row>
    <row r="9" spans="1:8" ht="22.5" customHeight="1" x14ac:dyDescent="0.25">
      <c r="A9" s="125" t="s">
        <v>57</v>
      </c>
      <c r="B9" s="125" t="s">
        <v>58</v>
      </c>
      <c r="C9" s="125"/>
      <c r="D9" s="126">
        <v>670509360960</v>
      </c>
      <c r="E9" s="125">
        <v>38302479207</v>
      </c>
      <c r="F9" s="127">
        <v>35769</v>
      </c>
      <c r="G9" s="126" t="s">
        <v>21</v>
      </c>
      <c r="H9" s="125" t="s">
        <v>26</v>
      </c>
    </row>
    <row r="10" spans="1:8" ht="22.5" customHeight="1" x14ac:dyDescent="0.25">
      <c r="A10" s="125" t="s">
        <v>61</v>
      </c>
      <c r="B10" s="125" t="s">
        <v>62</v>
      </c>
      <c r="C10" s="125"/>
      <c r="D10" s="126">
        <v>365006485557</v>
      </c>
      <c r="E10" s="125">
        <v>38302565809</v>
      </c>
      <c r="F10" s="126" t="s">
        <v>63</v>
      </c>
      <c r="G10" s="126" t="s">
        <v>21</v>
      </c>
      <c r="H10" s="125" t="s">
        <v>26</v>
      </c>
    </row>
    <row r="11" spans="1:8" ht="22.5" customHeight="1" x14ac:dyDescent="0.25">
      <c r="A11" s="125" t="s">
        <v>80</v>
      </c>
      <c r="B11" s="125" t="s">
        <v>335</v>
      </c>
      <c r="C11" s="125"/>
      <c r="D11" s="126">
        <v>494158010087</v>
      </c>
      <c r="E11" s="125">
        <v>38312246173</v>
      </c>
      <c r="F11" s="126" t="s">
        <v>82</v>
      </c>
      <c r="G11" s="126" t="s">
        <v>72</v>
      </c>
      <c r="H11" s="125" t="s">
        <v>330</v>
      </c>
    </row>
    <row r="12" spans="1:8" ht="22.5" customHeight="1" x14ac:dyDescent="0.25">
      <c r="A12" s="125" t="s">
        <v>90</v>
      </c>
      <c r="B12" s="125" t="s">
        <v>91</v>
      </c>
      <c r="C12" s="125"/>
      <c r="D12" s="126">
        <v>386187632362</v>
      </c>
      <c r="E12" s="125">
        <v>38312247852</v>
      </c>
      <c r="F12" s="127">
        <v>36892</v>
      </c>
      <c r="G12" s="126" t="s">
        <v>72</v>
      </c>
      <c r="H12" s="125" t="s">
        <v>26</v>
      </c>
    </row>
    <row r="13" spans="1:8" ht="22.5" customHeight="1" x14ac:dyDescent="0.25">
      <c r="A13" s="125" t="s">
        <v>75</v>
      </c>
      <c r="B13" s="125" t="s">
        <v>76</v>
      </c>
      <c r="C13" s="125"/>
      <c r="D13" s="126">
        <v>649134922789</v>
      </c>
      <c r="E13" s="125">
        <v>38312253130</v>
      </c>
      <c r="F13" s="127">
        <v>34368</v>
      </c>
      <c r="G13" s="126" t="s">
        <v>72</v>
      </c>
      <c r="H13" s="125" t="s">
        <v>338</v>
      </c>
    </row>
    <row r="14" spans="1:8" ht="22.5" customHeight="1" x14ac:dyDescent="0.25">
      <c r="A14" s="125" t="s">
        <v>78</v>
      </c>
      <c r="B14" s="125" t="s">
        <v>339</v>
      </c>
      <c r="C14" s="125"/>
      <c r="D14" s="126">
        <v>733017376481</v>
      </c>
      <c r="E14" s="125">
        <v>38312237178</v>
      </c>
      <c r="F14" s="127">
        <v>29221</v>
      </c>
      <c r="G14" s="126" t="s">
        <v>72</v>
      </c>
      <c r="H14" s="125" t="s">
        <v>26</v>
      </c>
    </row>
    <row r="15" spans="1:8" ht="22.5" customHeight="1" x14ac:dyDescent="0.25">
      <c r="A15" s="125" t="s">
        <v>83</v>
      </c>
      <c r="B15" s="125" t="s">
        <v>84</v>
      </c>
      <c r="C15" s="125"/>
      <c r="D15" s="126">
        <v>894113334159</v>
      </c>
      <c r="E15" s="125">
        <v>38312258111</v>
      </c>
      <c r="F15" s="127">
        <v>38323</v>
      </c>
      <c r="G15" s="126" t="s">
        <v>72</v>
      </c>
      <c r="H15" s="125" t="s">
        <v>26</v>
      </c>
    </row>
    <row r="16" spans="1:8" ht="22.5" customHeight="1" x14ac:dyDescent="0.25">
      <c r="A16" s="125" t="s">
        <v>70</v>
      </c>
      <c r="B16" s="125" t="s">
        <v>71</v>
      </c>
      <c r="C16" s="125"/>
      <c r="D16" s="126">
        <v>218697927575</v>
      </c>
      <c r="E16" s="125">
        <v>38312255954</v>
      </c>
      <c r="F16" s="127">
        <v>33970</v>
      </c>
      <c r="G16" s="126" t="s">
        <v>72</v>
      </c>
      <c r="H16" s="125" t="s">
        <v>330</v>
      </c>
    </row>
    <row r="17" spans="1:8" ht="22.5" customHeight="1" x14ac:dyDescent="0.25">
      <c r="A17" s="125" t="s">
        <v>73</v>
      </c>
      <c r="B17" s="125" t="s">
        <v>342</v>
      </c>
      <c r="C17" s="125"/>
      <c r="D17" s="126">
        <v>979687937545</v>
      </c>
      <c r="E17" s="125">
        <v>38312257812</v>
      </c>
      <c r="F17" s="127">
        <v>33239</v>
      </c>
      <c r="G17" s="126" t="s">
        <v>72</v>
      </c>
      <c r="H17" s="125" t="s">
        <v>330</v>
      </c>
    </row>
    <row r="18" spans="1:8" ht="22.5" customHeight="1" x14ac:dyDescent="0.25">
      <c r="A18" s="125" t="s">
        <v>87</v>
      </c>
      <c r="B18" s="125" t="s">
        <v>88</v>
      </c>
      <c r="C18" s="125"/>
      <c r="D18" s="126">
        <v>933703672766</v>
      </c>
      <c r="E18" s="125">
        <v>38312250899</v>
      </c>
      <c r="F18" s="126" t="s">
        <v>89</v>
      </c>
      <c r="G18" s="126" t="s">
        <v>72</v>
      </c>
      <c r="H18" s="125" t="s">
        <v>26</v>
      </c>
    </row>
    <row r="19" spans="1:8" ht="22.5" customHeight="1" x14ac:dyDescent="0.25">
      <c r="A19" s="125" t="s">
        <v>85</v>
      </c>
      <c r="B19" s="125" t="s">
        <v>86</v>
      </c>
      <c r="C19" s="125"/>
      <c r="D19" s="126">
        <v>467406326102</v>
      </c>
      <c r="E19" s="125">
        <v>38312259458</v>
      </c>
      <c r="F19" s="127">
        <v>35796</v>
      </c>
      <c r="G19" s="126" t="s">
        <v>72</v>
      </c>
      <c r="H19" s="125" t="s">
        <v>330</v>
      </c>
    </row>
    <row r="20" spans="1:8" ht="22.5" customHeight="1" x14ac:dyDescent="0.25">
      <c r="A20" s="125" t="s">
        <v>9</v>
      </c>
      <c r="B20" s="125" t="s">
        <v>10</v>
      </c>
      <c r="C20" s="125"/>
      <c r="D20" s="126">
        <v>753749021506</v>
      </c>
      <c r="E20" s="125"/>
      <c r="F20" s="126" t="s">
        <v>11</v>
      </c>
      <c r="G20" s="127">
        <v>45759</v>
      </c>
      <c r="H20" s="125" t="s">
        <v>46</v>
      </c>
    </row>
    <row r="21" spans="1:8" ht="22.5" customHeight="1" x14ac:dyDescent="0.25">
      <c r="A21" s="125" t="s">
        <v>14</v>
      </c>
      <c r="B21" s="125" t="s">
        <v>290</v>
      </c>
      <c r="C21" s="125"/>
      <c r="D21" s="125"/>
      <c r="E21" s="125"/>
      <c r="F21" s="127">
        <v>33604</v>
      </c>
      <c r="G21" s="126" t="s">
        <v>328</v>
      </c>
      <c r="H21" s="125" t="s">
        <v>330</v>
      </c>
    </row>
    <row r="22" spans="1:8" ht="22.5" customHeight="1" x14ac:dyDescent="0.25">
      <c r="A22" s="125" t="s">
        <v>22</v>
      </c>
      <c r="B22" s="125" t="s">
        <v>23</v>
      </c>
      <c r="C22" s="125"/>
      <c r="D22" s="125"/>
      <c r="E22" s="125"/>
      <c r="F22" s="127">
        <v>35343</v>
      </c>
      <c r="G22" s="126" t="s">
        <v>328</v>
      </c>
      <c r="H22" s="125" t="s">
        <v>338</v>
      </c>
    </row>
    <row r="23" spans="1:8" ht="22.5" customHeight="1" x14ac:dyDescent="0.25">
      <c r="A23" s="125" t="s">
        <v>344</v>
      </c>
      <c r="B23" s="125" t="s">
        <v>118</v>
      </c>
      <c r="C23" s="125"/>
      <c r="D23" s="125"/>
      <c r="E23" s="125"/>
      <c r="F23" s="127">
        <v>32939</v>
      </c>
      <c r="G23" s="126" t="s">
        <v>352</v>
      </c>
      <c r="H23" s="125" t="s">
        <v>330</v>
      </c>
    </row>
    <row r="24" spans="1:8" ht="22.5" customHeight="1" x14ac:dyDescent="0.25">
      <c r="A24" s="125" t="s">
        <v>345</v>
      </c>
      <c r="B24" s="125" t="s">
        <v>113</v>
      </c>
      <c r="C24" s="125"/>
      <c r="D24" s="125"/>
      <c r="E24" s="125"/>
      <c r="F24" s="125"/>
      <c r="G24" s="126" t="s">
        <v>352</v>
      </c>
      <c r="H24" s="125" t="s">
        <v>26</v>
      </c>
    </row>
    <row r="25" spans="1:8" ht="22.5" customHeight="1" x14ac:dyDescent="0.25">
      <c r="A25" s="125" t="s">
        <v>346</v>
      </c>
      <c r="B25" s="125" t="s">
        <v>114</v>
      </c>
      <c r="C25" s="125"/>
      <c r="D25" s="126">
        <v>645850806579</v>
      </c>
      <c r="E25" s="125">
        <v>38313067156</v>
      </c>
      <c r="F25" s="128">
        <v>36810</v>
      </c>
      <c r="G25" s="126" t="s">
        <v>352</v>
      </c>
      <c r="H25" s="125" t="s">
        <v>26</v>
      </c>
    </row>
    <row r="26" spans="1:8" ht="22.5" customHeight="1" x14ac:dyDescent="0.25">
      <c r="A26" s="125" t="s">
        <v>348</v>
      </c>
      <c r="B26" s="125" t="s">
        <v>115</v>
      </c>
      <c r="C26" s="125"/>
      <c r="D26" s="125"/>
      <c r="E26" s="125"/>
      <c r="F26" s="127">
        <v>38872</v>
      </c>
      <c r="G26" s="126" t="s">
        <v>352</v>
      </c>
      <c r="H26" s="125" t="s">
        <v>26</v>
      </c>
    </row>
    <row r="27" spans="1:8" ht="22.5" customHeight="1" x14ac:dyDescent="0.25">
      <c r="A27" s="125" t="s">
        <v>350</v>
      </c>
      <c r="B27" s="125" t="s">
        <v>116</v>
      </c>
      <c r="C27" s="125"/>
      <c r="D27" s="126">
        <v>575715694755</v>
      </c>
      <c r="E27" s="125">
        <v>38313073739</v>
      </c>
      <c r="F27" s="126" t="s">
        <v>351</v>
      </c>
      <c r="G27" s="126" t="s">
        <v>352</v>
      </c>
      <c r="H27" s="125" t="s">
        <v>26</v>
      </c>
    </row>
    <row r="28" spans="1:8" ht="22.5" customHeight="1" x14ac:dyDescent="0.25">
      <c r="A28" s="125" t="s">
        <v>353</v>
      </c>
      <c r="B28" s="125" t="s">
        <v>117</v>
      </c>
      <c r="C28" s="125"/>
      <c r="D28" s="125"/>
      <c r="E28" s="125"/>
      <c r="F28" s="126" t="s">
        <v>351</v>
      </c>
      <c r="G28" s="126" t="s">
        <v>352</v>
      </c>
      <c r="H28" s="125" t="s">
        <v>26</v>
      </c>
    </row>
    <row r="29" spans="1:8" ht="22.5" customHeight="1" x14ac:dyDescent="0.25">
      <c r="A29" s="125" t="s">
        <v>51</v>
      </c>
      <c r="B29" s="125" t="s">
        <v>52</v>
      </c>
      <c r="C29" s="125" t="s">
        <v>354</v>
      </c>
      <c r="D29" s="126">
        <v>757151214532</v>
      </c>
      <c r="E29" s="125">
        <v>38300058870</v>
      </c>
      <c r="F29" s="125" t="s">
        <v>53</v>
      </c>
      <c r="G29" s="126" t="s">
        <v>328</v>
      </c>
      <c r="H29" s="125" t="s">
        <v>54</v>
      </c>
    </row>
    <row r="30" spans="1:8" ht="22.5" customHeight="1" x14ac:dyDescent="0.25">
      <c r="A30" s="125" t="s">
        <v>4</v>
      </c>
      <c r="B30" s="125" t="s">
        <v>5</v>
      </c>
      <c r="C30" s="125"/>
      <c r="D30" s="125" t="s">
        <v>6</v>
      </c>
      <c r="E30" s="125">
        <v>38297409204</v>
      </c>
      <c r="F30" s="125" t="s">
        <v>7</v>
      </c>
      <c r="G30" s="127">
        <v>46214</v>
      </c>
      <c r="H30" s="125" t="s">
        <v>8</v>
      </c>
    </row>
  </sheetData>
  <dataValidations count="2">
    <dataValidation type="custom" allowBlank="1" showDropDown="1" sqref="D2:E30" xr:uid="{00000000-0002-0000-0700-000000000000}">
      <formula1>AND(ISNUMBER(D2),(NOT(OR(NOT(ISERROR(DATEVALUE(D2))), AND(ISNUMBER(D2), LEFT(CELL("format", D2))="D")))))</formula1>
    </dataValidation>
    <dataValidation type="list" allowBlank="1" showDropDown="1" showErrorMessage="1" sqref="H2:H30" xr:uid="{00000000-0002-0000-0700-000001000000}">
      <formula1>"GEN. HELPER,SHUTTERING MISTRY,MASON,SUPERVISOR,PAINTER,STEEL FABRICATOR"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B529"/>
  <sheetViews>
    <sheetView workbookViewId="0"/>
  </sheetViews>
  <sheetFormatPr defaultColWidth="12.5703125" defaultRowHeight="15.75" customHeight="1" x14ac:dyDescent="0.2"/>
  <cols>
    <col min="1" max="1" width="15.42578125" customWidth="1"/>
    <col min="2" max="2" width="17.5703125" customWidth="1"/>
    <col min="3" max="3" width="14.85546875" customWidth="1"/>
    <col min="4" max="5" width="18.42578125" customWidth="1"/>
    <col min="6" max="6" width="13.7109375" customWidth="1"/>
    <col min="7" max="7" width="13.42578125" customWidth="1"/>
    <col min="8" max="8" width="13.140625" customWidth="1"/>
    <col min="9" max="9" width="13.85546875" customWidth="1"/>
    <col min="10" max="10" width="16.42578125" customWidth="1"/>
    <col min="11" max="11" width="14.5703125" customWidth="1"/>
    <col min="12" max="12" width="15.42578125" customWidth="1"/>
    <col min="13" max="28" width="18.42578125" customWidth="1"/>
  </cols>
  <sheetData>
    <row r="1" spans="1:28" ht="15.75" customHeight="1" x14ac:dyDescent="0.35">
      <c r="A1" s="43"/>
      <c r="B1" s="26"/>
      <c r="C1" s="26"/>
      <c r="D1" s="26"/>
      <c r="E1" s="26"/>
      <c r="F1" s="26"/>
      <c r="G1" s="26"/>
      <c r="H1" s="26"/>
      <c r="I1" s="26"/>
      <c r="J1" s="26"/>
      <c r="K1" s="26"/>
      <c r="L1" s="44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15.75" customHeight="1" x14ac:dyDescent="0.35">
      <c r="A2" s="22" t="s">
        <v>93</v>
      </c>
      <c r="B2" s="23" t="s">
        <v>94</v>
      </c>
      <c r="C2" s="23" t="s">
        <v>1</v>
      </c>
      <c r="D2" s="24" t="s">
        <v>284</v>
      </c>
      <c r="E2" s="24" t="s">
        <v>285</v>
      </c>
      <c r="F2" s="24" t="s">
        <v>286</v>
      </c>
      <c r="G2" s="24" t="s">
        <v>287</v>
      </c>
      <c r="H2" s="24" t="s">
        <v>286</v>
      </c>
      <c r="I2" s="24" t="s">
        <v>287</v>
      </c>
      <c r="J2" s="24" t="s">
        <v>288</v>
      </c>
      <c r="K2" s="24" t="s">
        <v>234</v>
      </c>
      <c r="L2" s="25" t="s">
        <v>302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35">
      <c r="A3" s="152" t="s">
        <v>4</v>
      </c>
      <c r="B3" s="145" t="s">
        <v>5</v>
      </c>
      <c r="C3" s="145" t="s">
        <v>8</v>
      </c>
      <c r="D3" s="27">
        <v>46093</v>
      </c>
      <c r="E3" s="28" t="s">
        <v>291</v>
      </c>
      <c r="F3" s="29">
        <v>0.33333333333333331</v>
      </c>
      <c r="G3" s="29">
        <v>0.54166666666666663</v>
      </c>
      <c r="H3" s="29">
        <v>0.58333333333333337</v>
      </c>
      <c r="I3" s="29">
        <v>0.85416666666666663</v>
      </c>
      <c r="J3" s="30">
        <f t="shared" ref="J3:J9" si="0">(((I3-H3)+(G3-F3))*24)</f>
        <v>11.499999999999998</v>
      </c>
      <c r="K3" s="30">
        <f t="shared" ref="K3:K5" si="1">J3-8</f>
        <v>3.4999999999999982</v>
      </c>
      <c r="L3" s="31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35">
      <c r="A4" s="149"/>
      <c r="B4" s="146"/>
      <c r="C4" s="146"/>
      <c r="D4" s="27">
        <v>46094</v>
      </c>
      <c r="E4" s="28" t="s">
        <v>292</v>
      </c>
      <c r="F4" s="29">
        <v>0.33333333333333331</v>
      </c>
      <c r="G4" s="29">
        <v>0.54166666666666663</v>
      </c>
      <c r="H4" s="29">
        <v>0.58333333333333337</v>
      </c>
      <c r="I4" s="29">
        <v>0.75</v>
      </c>
      <c r="J4" s="30">
        <f t="shared" si="0"/>
        <v>8.9999999999999982</v>
      </c>
      <c r="K4" s="30">
        <f t="shared" si="1"/>
        <v>0.99999999999999822</v>
      </c>
      <c r="L4" s="31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35">
      <c r="A5" s="149"/>
      <c r="B5" s="146"/>
      <c r="C5" s="146"/>
      <c r="D5" s="27">
        <v>46095</v>
      </c>
      <c r="E5" s="28" t="s">
        <v>293</v>
      </c>
      <c r="F5" s="29">
        <v>0.33333333333333331</v>
      </c>
      <c r="G5" s="29">
        <v>0.54166666666666663</v>
      </c>
      <c r="H5" s="29">
        <v>0.58333333333333337</v>
      </c>
      <c r="I5" s="29">
        <v>0.79166666666666663</v>
      </c>
      <c r="J5" s="30">
        <f t="shared" si="0"/>
        <v>9.9999999999999982</v>
      </c>
      <c r="K5" s="30">
        <f t="shared" si="1"/>
        <v>1.9999999999999982</v>
      </c>
      <c r="L5" s="31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15.75" customHeight="1" x14ac:dyDescent="0.35">
      <c r="A6" s="149"/>
      <c r="B6" s="146"/>
      <c r="C6" s="146"/>
      <c r="D6" s="27">
        <v>46096</v>
      </c>
      <c r="E6" s="28" t="s">
        <v>294</v>
      </c>
      <c r="F6" s="29"/>
      <c r="G6" s="29"/>
      <c r="H6" s="29"/>
      <c r="I6" s="29"/>
      <c r="J6" s="30">
        <f t="shared" si="0"/>
        <v>0</v>
      </c>
      <c r="L6" s="31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5.75" customHeight="1" x14ac:dyDescent="0.35">
      <c r="A7" s="149"/>
      <c r="B7" s="146"/>
      <c r="C7" s="146"/>
      <c r="D7" s="27">
        <v>46097</v>
      </c>
      <c r="E7" s="28" t="s">
        <v>295</v>
      </c>
      <c r="F7" s="29">
        <v>0.29166666666666669</v>
      </c>
      <c r="G7" s="29">
        <v>0.54166666666666663</v>
      </c>
      <c r="H7" s="29">
        <v>0.58333333333333337</v>
      </c>
      <c r="I7" s="29">
        <v>0.79166666666666663</v>
      </c>
      <c r="J7" s="30">
        <f t="shared" si="0"/>
        <v>10.999999999999996</v>
      </c>
      <c r="K7" s="32">
        <f t="shared" ref="K7:K9" si="2">J7-8</f>
        <v>2.9999999999999964</v>
      </c>
      <c r="L7" s="31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15.75" customHeight="1" x14ac:dyDescent="0.35">
      <c r="A8" s="149"/>
      <c r="B8" s="146"/>
      <c r="C8" s="146"/>
      <c r="D8" s="27">
        <v>46098</v>
      </c>
      <c r="E8" s="28" t="s">
        <v>296</v>
      </c>
      <c r="F8" s="29">
        <v>0.29166666666666669</v>
      </c>
      <c r="G8" s="29">
        <v>0.54166666666666663</v>
      </c>
      <c r="H8" s="29">
        <v>0.58333333333333337</v>
      </c>
      <c r="I8" s="29">
        <v>0.75</v>
      </c>
      <c r="J8" s="30">
        <f t="shared" si="0"/>
        <v>9.9999999999999982</v>
      </c>
      <c r="K8" s="30">
        <f t="shared" si="2"/>
        <v>1.9999999999999982</v>
      </c>
      <c r="L8" s="31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15.75" customHeight="1" x14ac:dyDescent="0.35">
      <c r="A9" s="149"/>
      <c r="B9" s="146"/>
      <c r="C9" s="146"/>
      <c r="D9" s="27">
        <v>46099</v>
      </c>
      <c r="E9" s="28" t="s">
        <v>297</v>
      </c>
      <c r="F9" s="29">
        <v>0.33333333333333331</v>
      </c>
      <c r="G9" s="29">
        <v>0.54166666666666663</v>
      </c>
      <c r="H9" s="29">
        <v>0.58333333333333337</v>
      </c>
      <c r="I9" s="29">
        <v>0.83333333333333337</v>
      </c>
      <c r="J9" s="30">
        <f t="shared" si="0"/>
        <v>11</v>
      </c>
      <c r="K9" s="32">
        <f t="shared" si="2"/>
        <v>3</v>
      </c>
      <c r="L9" s="33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ht="15.75" customHeight="1" x14ac:dyDescent="0.35">
      <c r="A10" s="149"/>
      <c r="B10" s="146"/>
      <c r="C10" s="146"/>
      <c r="D10" s="27"/>
      <c r="E10" s="28"/>
      <c r="F10" s="28"/>
      <c r="G10" s="28"/>
      <c r="H10" s="26"/>
      <c r="I10" s="34" t="s">
        <v>298</v>
      </c>
      <c r="J10" s="35">
        <v>1400</v>
      </c>
      <c r="K10" s="34"/>
      <c r="L10" s="3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ht="15.75" customHeight="1" x14ac:dyDescent="0.35">
      <c r="A11" s="149"/>
      <c r="B11" s="146"/>
      <c r="C11" s="146"/>
      <c r="D11" s="27"/>
      <c r="E11" s="28"/>
      <c r="F11" s="28"/>
      <c r="G11" s="28"/>
      <c r="H11" s="37"/>
      <c r="I11" s="34" t="s">
        <v>299</v>
      </c>
      <c r="J11" s="35">
        <f>J10*(COUNTIF(J3:J9, "&gt;0.00"))</f>
        <v>8400</v>
      </c>
      <c r="K11" s="35">
        <f>(J10/8)*(SUM(K3:K9))</f>
        <v>2537.4999999999982</v>
      </c>
      <c r="L11" s="129">
        <f>SUM(L3:L9)</f>
        <v>0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ht="15.75" customHeight="1" x14ac:dyDescent="0.35">
      <c r="A12" s="150"/>
      <c r="B12" s="147"/>
      <c r="C12" s="147"/>
      <c r="D12" s="38"/>
      <c r="E12" s="39"/>
      <c r="F12" s="39"/>
      <c r="G12" s="39"/>
      <c r="H12" s="40"/>
      <c r="I12" s="41" t="s">
        <v>300</v>
      </c>
      <c r="J12" s="42">
        <f>SUM(J11:K11)-L11</f>
        <v>10937.499999999998</v>
      </c>
      <c r="K12" s="34"/>
      <c r="L12" s="3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ht="15.75" customHeight="1" x14ac:dyDescent="0.35">
      <c r="A13" s="4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44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15.75" customHeight="1" x14ac:dyDescent="0.35">
      <c r="A14" s="22" t="s">
        <v>93</v>
      </c>
      <c r="B14" s="23" t="s">
        <v>94</v>
      </c>
      <c r="C14" s="23" t="s">
        <v>1</v>
      </c>
      <c r="D14" s="24" t="s">
        <v>284</v>
      </c>
      <c r="E14" s="24" t="s">
        <v>285</v>
      </c>
      <c r="F14" s="24" t="s">
        <v>286</v>
      </c>
      <c r="G14" s="24" t="s">
        <v>287</v>
      </c>
      <c r="H14" s="24" t="s">
        <v>286</v>
      </c>
      <c r="I14" s="24" t="s">
        <v>287</v>
      </c>
      <c r="J14" s="24" t="s">
        <v>288</v>
      </c>
      <c r="K14" s="24" t="s">
        <v>234</v>
      </c>
      <c r="L14" s="25" t="s">
        <v>302</v>
      </c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15.75" customHeight="1" x14ac:dyDescent="0.35">
      <c r="A15" s="148" t="s">
        <v>14</v>
      </c>
      <c r="B15" s="145" t="s">
        <v>290</v>
      </c>
      <c r="C15" s="145" t="s">
        <v>16</v>
      </c>
      <c r="D15" s="27">
        <v>46093</v>
      </c>
      <c r="E15" s="28" t="s">
        <v>291</v>
      </c>
      <c r="F15" s="29">
        <v>0.29166666666666669</v>
      </c>
      <c r="G15" s="29">
        <v>0.54166666666666663</v>
      </c>
      <c r="H15" s="29">
        <v>0.58333333333333337</v>
      </c>
      <c r="I15" s="29">
        <v>0.77083333333333337</v>
      </c>
      <c r="J15" s="30">
        <f t="shared" ref="J15:J21" si="3">(((I15-H15)+(G15-F15))*24)</f>
        <v>10.499999999999998</v>
      </c>
      <c r="K15" s="30">
        <f t="shared" ref="K15:K17" si="4">J15-8</f>
        <v>2.4999999999999982</v>
      </c>
      <c r="L15" s="31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15.75" customHeight="1" x14ac:dyDescent="0.35">
      <c r="A16" s="149"/>
      <c r="B16" s="146"/>
      <c r="C16" s="146"/>
      <c r="D16" s="27">
        <v>46094</v>
      </c>
      <c r="E16" s="28" t="s">
        <v>292</v>
      </c>
      <c r="F16" s="29">
        <v>0.3298611111111111</v>
      </c>
      <c r="G16" s="29">
        <v>0.54166666666666663</v>
      </c>
      <c r="H16" s="29">
        <v>0.58333333333333337</v>
      </c>
      <c r="I16" s="29">
        <v>0.72916666666666663</v>
      </c>
      <c r="J16" s="30">
        <f t="shared" si="3"/>
        <v>8.5833333333333304</v>
      </c>
      <c r="K16" s="30">
        <f t="shared" si="4"/>
        <v>0.58333333333333037</v>
      </c>
      <c r="L16" s="31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ht="15.75" customHeight="1" x14ac:dyDescent="0.35">
      <c r="A17" s="149"/>
      <c r="B17" s="146"/>
      <c r="C17" s="146"/>
      <c r="D17" s="27">
        <v>46095</v>
      </c>
      <c r="E17" s="28" t="s">
        <v>293</v>
      </c>
      <c r="F17" s="29">
        <v>0.29166666666666669</v>
      </c>
      <c r="G17" s="29">
        <v>0.54166666666666663</v>
      </c>
      <c r="H17" s="29">
        <v>0.58333333333333337</v>
      </c>
      <c r="I17" s="29">
        <v>0.79166666666666663</v>
      </c>
      <c r="J17" s="30">
        <f t="shared" si="3"/>
        <v>10.999999999999996</v>
      </c>
      <c r="K17" s="30">
        <f t="shared" si="4"/>
        <v>2.9999999999999964</v>
      </c>
      <c r="L17" s="31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15.75" customHeight="1" x14ac:dyDescent="0.35">
      <c r="A18" s="149"/>
      <c r="B18" s="146"/>
      <c r="C18" s="146"/>
      <c r="D18" s="27">
        <v>46096</v>
      </c>
      <c r="E18" s="28" t="s">
        <v>294</v>
      </c>
      <c r="F18" s="29"/>
      <c r="G18" s="29"/>
      <c r="H18" s="29"/>
      <c r="I18" s="29"/>
      <c r="J18" s="30">
        <f t="shared" si="3"/>
        <v>0</v>
      </c>
      <c r="K18" s="28"/>
      <c r="L18" s="31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15.75" customHeight="1" x14ac:dyDescent="0.35">
      <c r="A19" s="149"/>
      <c r="B19" s="146"/>
      <c r="C19" s="146"/>
      <c r="D19" s="27">
        <v>46097</v>
      </c>
      <c r="E19" s="28" t="s">
        <v>295</v>
      </c>
      <c r="F19" s="29">
        <v>0.29166666666666669</v>
      </c>
      <c r="G19" s="29">
        <v>0.54166666666666663</v>
      </c>
      <c r="H19" s="29">
        <v>0.58333333333333337</v>
      </c>
      <c r="I19" s="29">
        <v>0.79166666666666663</v>
      </c>
      <c r="J19" s="30">
        <f t="shared" si="3"/>
        <v>10.999999999999996</v>
      </c>
      <c r="K19" s="30">
        <f t="shared" ref="K19:K21" si="5">J19-8</f>
        <v>2.9999999999999964</v>
      </c>
      <c r="L19" s="31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15.75" customHeight="1" x14ac:dyDescent="0.35">
      <c r="A20" s="149"/>
      <c r="B20" s="146"/>
      <c r="C20" s="146"/>
      <c r="D20" s="27">
        <v>46098</v>
      </c>
      <c r="E20" s="28" t="s">
        <v>296</v>
      </c>
      <c r="F20" s="29">
        <v>0.29166666666666669</v>
      </c>
      <c r="G20" s="29">
        <v>0.54166666666666663</v>
      </c>
      <c r="H20" s="29">
        <v>0.58333333333333337</v>
      </c>
      <c r="I20" s="29">
        <v>0.75</v>
      </c>
      <c r="J20" s="30">
        <f t="shared" si="3"/>
        <v>9.9999999999999982</v>
      </c>
      <c r="K20" s="30">
        <f t="shared" si="5"/>
        <v>1.9999999999999982</v>
      </c>
      <c r="L20" s="31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15.75" customHeight="1" x14ac:dyDescent="0.35">
      <c r="A21" s="149"/>
      <c r="B21" s="146"/>
      <c r="C21" s="146"/>
      <c r="D21" s="27">
        <v>46099</v>
      </c>
      <c r="E21" s="28" t="s">
        <v>297</v>
      </c>
      <c r="F21" s="29">
        <v>0.29166666666666669</v>
      </c>
      <c r="G21" s="29">
        <v>0.54166666666666663</v>
      </c>
      <c r="H21" s="29">
        <v>0.58333333333333337</v>
      </c>
      <c r="I21" s="29">
        <v>0.8125</v>
      </c>
      <c r="J21" s="30">
        <f t="shared" si="3"/>
        <v>11.499999999999998</v>
      </c>
      <c r="K21" s="32">
        <f t="shared" si="5"/>
        <v>3.4999999999999982</v>
      </c>
      <c r="L21" s="33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15.75" customHeight="1" x14ac:dyDescent="0.35">
      <c r="A22" s="149"/>
      <c r="B22" s="146"/>
      <c r="C22" s="146"/>
      <c r="D22" s="27"/>
      <c r="E22" s="28"/>
      <c r="F22" s="28"/>
      <c r="G22" s="28"/>
      <c r="H22" s="26"/>
      <c r="I22" s="34" t="s">
        <v>298</v>
      </c>
      <c r="J22" s="35">
        <v>1200</v>
      </c>
      <c r="K22" s="34"/>
      <c r="L22" s="3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15.75" customHeight="1" x14ac:dyDescent="0.35">
      <c r="A23" s="149"/>
      <c r="B23" s="146"/>
      <c r="C23" s="146"/>
      <c r="D23" s="27"/>
      <c r="E23" s="28"/>
      <c r="F23" s="28"/>
      <c r="G23" s="28"/>
      <c r="H23" s="37"/>
      <c r="I23" s="34" t="s">
        <v>299</v>
      </c>
      <c r="J23" s="35">
        <f>J22*(COUNTIF(J15:J21, "&gt;0.00"))</f>
        <v>7200</v>
      </c>
      <c r="K23" s="35">
        <f>(J22/8)*(SUM(K15:K21))</f>
        <v>2187.4999999999977</v>
      </c>
      <c r="L23" s="36">
        <f>SUM(L15:L21)</f>
        <v>0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15.75" customHeight="1" x14ac:dyDescent="0.35">
      <c r="A24" s="150"/>
      <c r="B24" s="147"/>
      <c r="C24" s="147"/>
      <c r="D24" s="38"/>
      <c r="E24" s="39"/>
      <c r="F24" s="39"/>
      <c r="G24" s="39"/>
      <c r="H24" s="40"/>
      <c r="I24" s="41" t="s">
        <v>300</v>
      </c>
      <c r="J24" s="42">
        <f>SUM(J23:K23)-L23</f>
        <v>9387.4999999999982</v>
      </c>
      <c r="K24" s="34"/>
      <c r="L24" s="3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15.75" customHeight="1" x14ac:dyDescent="0.35">
      <c r="A25" s="43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44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15.75" customHeight="1" x14ac:dyDescent="0.35">
      <c r="A26" s="22" t="s">
        <v>93</v>
      </c>
      <c r="B26" s="23" t="s">
        <v>94</v>
      </c>
      <c r="C26" s="23" t="s">
        <v>1</v>
      </c>
      <c r="D26" s="24" t="s">
        <v>284</v>
      </c>
      <c r="E26" s="24" t="s">
        <v>285</v>
      </c>
      <c r="F26" s="24" t="s">
        <v>286</v>
      </c>
      <c r="G26" s="24" t="s">
        <v>287</v>
      </c>
      <c r="H26" s="24" t="s">
        <v>286</v>
      </c>
      <c r="I26" s="24" t="s">
        <v>287</v>
      </c>
      <c r="J26" s="24" t="s">
        <v>288</v>
      </c>
      <c r="K26" s="24" t="s">
        <v>234</v>
      </c>
      <c r="L26" s="25" t="s">
        <v>302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15.75" customHeight="1" x14ac:dyDescent="0.35">
      <c r="A27" s="148" t="s">
        <v>22</v>
      </c>
      <c r="B27" s="145" t="s">
        <v>23</v>
      </c>
      <c r="C27" s="145" t="s">
        <v>110</v>
      </c>
      <c r="D27" s="27">
        <v>46093</v>
      </c>
      <c r="E27" s="28" t="s">
        <v>291</v>
      </c>
      <c r="F27" s="29">
        <v>0.29166666666666669</v>
      </c>
      <c r="G27" s="29">
        <v>0.54166666666666663</v>
      </c>
      <c r="H27" s="29">
        <v>0.58333333333333337</v>
      </c>
      <c r="I27" s="29">
        <v>0.75</v>
      </c>
      <c r="J27" s="30">
        <f t="shared" ref="J27:J33" si="6">(((I27-H27)+(G27-F27))*24)</f>
        <v>9.9999999999999982</v>
      </c>
      <c r="K27" s="130">
        <f t="shared" ref="K27:K29" si="7">J27-8</f>
        <v>1.9999999999999982</v>
      </c>
      <c r="L27" s="31">
        <v>1000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15.75" customHeight="1" x14ac:dyDescent="0.35">
      <c r="A28" s="149"/>
      <c r="B28" s="146"/>
      <c r="C28" s="146"/>
      <c r="D28" s="27">
        <v>46094</v>
      </c>
      <c r="E28" s="28" t="s">
        <v>292</v>
      </c>
      <c r="F28" s="29">
        <v>0.3298611111111111</v>
      </c>
      <c r="G28" s="29">
        <v>0.54166666666666663</v>
      </c>
      <c r="H28" s="29">
        <v>0.58333333333333337</v>
      </c>
      <c r="I28" s="29">
        <v>0.75</v>
      </c>
      <c r="J28" s="30">
        <f t="shared" si="6"/>
        <v>9.0833333333333321</v>
      </c>
      <c r="K28" s="30">
        <f t="shared" si="7"/>
        <v>1.0833333333333321</v>
      </c>
      <c r="L28" s="31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15.75" customHeight="1" x14ac:dyDescent="0.35">
      <c r="A29" s="149"/>
      <c r="B29" s="146"/>
      <c r="C29" s="146"/>
      <c r="D29" s="27">
        <v>46095</v>
      </c>
      <c r="E29" s="28" t="s">
        <v>293</v>
      </c>
      <c r="F29" s="29">
        <v>0.29166666666666669</v>
      </c>
      <c r="G29" s="29">
        <v>0.54166666666666663</v>
      </c>
      <c r="H29" s="29">
        <v>0.58333333333333337</v>
      </c>
      <c r="I29" s="29">
        <v>0.77083333333333337</v>
      </c>
      <c r="J29" s="30">
        <f t="shared" si="6"/>
        <v>10.499999999999998</v>
      </c>
      <c r="K29" s="30">
        <f t="shared" si="7"/>
        <v>2.4999999999999982</v>
      </c>
      <c r="L29" s="31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15.75" customHeight="1" x14ac:dyDescent="0.35">
      <c r="A30" s="149"/>
      <c r="B30" s="146"/>
      <c r="C30" s="146"/>
      <c r="D30" s="27">
        <v>46096</v>
      </c>
      <c r="E30" s="28" t="s">
        <v>294</v>
      </c>
      <c r="F30" s="29"/>
      <c r="G30" s="29"/>
      <c r="H30" s="29"/>
      <c r="I30" s="29"/>
      <c r="J30" s="30">
        <f t="shared" si="6"/>
        <v>0</v>
      </c>
      <c r="K30" s="28"/>
      <c r="L30" s="31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15.75" customHeight="1" x14ac:dyDescent="0.35">
      <c r="A31" s="149"/>
      <c r="B31" s="146"/>
      <c r="C31" s="146"/>
      <c r="D31" s="27">
        <v>46097</v>
      </c>
      <c r="E31" s="28" t="s">
        <v>295</v>
      </c>
      <c r="F31" s="29">
        <v>0.29166666666666669</v>
      </c>
      <c r="G31" s="29">
        <v>0.54166666666666663</v>
      </c>
      <c r="H31" s="29">
        <v>0.58333333333333337</v>
      </c>
      <c r="I31" s="131">
        <v>0.79166666666666663</v>
      </c>
      <c r="J31" s="30">
        <f t="shared" si="6"/>
        <v>10.999999999999996</v>
      </c>
      <c r="K31" s="30">
        <f t="shared" ref="K31:K33" si="8">J31-8</f>
        <v>2.9999999999999964</v>
      </c>
      <c r="L31" s="31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15.75" customHeight="1" x14ac:dyDescent="0.35">
      <c r="A32" s="149"/>
      <c r="B32" s="146"/>
      <c r="C32" s="146"/>
      <c r="D32" s="27">
        <v>46098</v>
      </c>
      <c r="E32" s="28" t="s">
        <v>296</v>
      </c>
      <c r="F32" s="29">
        <v>0.29166666666666669</v>
      </c>
      <c r="G32" s="29">
        <v>0.54166666666666663</v>
      </c>
      <c r="H32" s="29">
        <v>0.58333333333333337</v>
      </c>
      <c r="I32" s="29">
        <v>0.75</v>
      </c>
      <c r="J32" s="30">
        <f t="shared" si="6"/>
        <v>9.9999999999999982</v>
      </c>
      <c r="K32" s="30">
        <f t="shared" si="8"/>
        <v>1.9999999999999982</v>
      </c>
      <c r="L32" s="31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15.75" customHeight="1" x14ac:dyDescent="0.35">
      <c r="A33" s="149"/>
      <c r="B33" s="146"/>
      <c r="C33" s="146"/>
      <c r="D33" s="27">
        <v>46099</v>
      </c>
      <c r="E33" s="28" t="s">
        <v>297</v>
      </c>
      <c r="F33" s="29">
        <v>0.29166666666666669</v>
      </c>
      <c r="G33" s="29">
        <v>0.54166666666666663</v>
      </c>
      <c r="H33" s="29">
        <v>0.58333333333333337</v>
      </c>
      <c r="I33" s="29">
        <v>0.8125</v>
      </c>
      <c r="J33" s="30">
        <f t="shared" si="6"/>
        <v>11.499999999999998</v>
      </c>
      <c r="K33" s="32">
        <f t="shared" si="8"/>
        <v>3.4999999999999982</v>
      </c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15.75" customHeight="1" x14ac:dyDescent="0.35">
      <c r="A34" s="149"/>
      <c r="B34" s="146"/>
      <c r="C34" s="146"/>
      <c r="D34" s="27"/>
      <c r="E34" s="28"/>
      <c r="F34" s="28"/>
      <c r="G34" s="28"/>
      <c r="H34" s="26"/>
      <c r="I34" s="34" t="s">
        <v>298</v>
      </c>
      <c r="J34" s="35">
        <v>1000</v>
      </c>
      <c r="K34" s="34"/>
      <c r="L34" s="3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15.75" customHeight="1" x14ac:dyDescent="0.35">
      <c r="A35" s="149"/>
      <c r="B35" s="146"/>
      <c r="C35" s="146"/>
      <c r="D35" s="27"/>
      <c r="E35" s="28"/>
      <c r="F35" s="28"/>
      <c r="G35" s="28"/>
      <c r="H35" s="37"/>
      <c r="I35" s="34" t="s">
        <v>299</v>
      </c>
      <c r="J35" s="35">
        <f>J34*(COUNTIF(J27:J33, "&gt;0.00"))</f>
        <v>6000</v>
      </c>
      <c r="K35" s="132">
        <f>(J34/8)*(SUM(K27:K33))</f>
        <v>1760.4166666666652</v>
      </c>
      <c r="L35" s="36">
        <f>SUM(L27:L33)</f>
        <v>1000</v>
      </c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15.75" customHeight="1" x14ac:dyDescent="0.35">
      <c r="A36" s="150"/>
      <c r="B36" s="147"/>
      <c r="C36" s="147"/>
      <c r="D36" s="38"/>
      <c r="E36" s="39"/>
      <c r="F36" s="39"/>
      <c r="G36" s="39"/>
      <c r="H36" s="40"/>
      <c r="I36" s="41" t="s">
        <v>300</v>
      </c>
      <c r="J36" s="133">
        <f>SUM(J35:K35)-L35</f>
        <v>6760.4166666666652</v>
      </c>
      <c r="K36" s="34"/>
      <c r="L36" s="3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3.25" x14ac:dyDescent="0.35">
      <c r="A37" s="43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44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46.5" x14ac:dyDescent="0.35">
      <c r="A38" s="22" t="s">
        <v>93</v>
      </c>
      <c r="B38" s="23" t="s">
        <v>94</v>
      </c>
      <c r="C38" s="23" t="s">
        <v>1</v>
      </c>
      <c r="D38" s="24" t="s">
        <v>284</v>
      </c>
      <c r="E38" s="24" t="s">
        <v>285</v>
      </c>
      <c r="F38" s="24" t="s">
        <v>286</v>
      </c>
      <c r="G38" s="24" t="s">
        <v>287</v>
      </c>
      <c r="H38" s="24" t="s">
        <v>286</v>
      </c>
      <c r="I38" s="24" t="s">
        <v>287</v>
      </c>
      <c r="J38" s="24" t="s">
        <v>288</v>
      </c>
      <c r="K38" s="24" t="s">
        <v>234</v>
      </c>
      <c r="L38" s="25" t="s">
        <v>302</v>
      </c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3.25" x14ac:dyDescent="0.35">
      <c r="A39" s="148" t="s">
        <v>24</v>
      </c>
      <c r="B39" s="145" t="s">
        <v>25</v>
      </c>
      <c r="C39" s="145" t="s">
        <v>301</v>
      </c>
      <c r="D39" s="27">
        <v>46093</v>
      </c>
      <c r="E39" s="28" t="s">
        <v>291</v>
      </c>
      <c r="F39" s="29">
        <v>0.29166666666666669</v>
      </c>
      <c r="G39" s="29">
        <v>0.54166666666666663</v>
      </c>
      <c r="H39" s="29">
        <v>0.58333333333333337</v>
      </c>
      <c r="I39" s="29">
        <v>0.77777777777777779</v>
      </c>
      <c r="J39" s="30">
        <f t="shared" ref="J39:J45" si="9">(((I39-H39)+(G39-F39))*24)</f>
        <v>10.666666666666664</v>
      </c>
      <c r="K39" s="30">
        <f t="shared" ref="K39:K41" si="10">J39-8</f>
        <v>2.6666666666666643</v>
      </c>
      <c r="L39" s="31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3.25" x14ac:dyDescent="0.35">
      <c r="A40" s="149"/>
      <c r="B40" s="146"/>
      <c r="C40" s="146"/>
      <c r="D40" s="27">
        <v>46094</v>
      </c>
      <c r="E40" s="28" t="s">
        <v>292</v>
      </c>
      <c r="F40" s="29">
        <v>0.33333333333333331</v>
      </c>
      <c r="G40" s="29">
        <v>0.54166666666666663</v>
      </c>
      <c r="H40" s="29">
        <v>0.58333333333333337</v>
      </c>
      <c r="I40" s="29">
        <v>0.75</v>
      </c>
      <c r="J40" s="30">
        <f t="shared" si="9"/>
        <v>8.9999999999999982</v>
      </c>
      <c r="K40" s="30">
        <f t="shared" si="10"/>
        <v>0.99999999999999822</v>
      </c>
      <c r="L40" s="31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3.25" x14ac:dyDescent="0.35">
      <c r="A41" s="149"/>
      <c r="B41" s="146"/>
      <c r="C41" s="146"/>
      <c r="D41" s="27">
        <v>46095</v>
      </c>
      <c r="E41" s="28" t="s">
        <v>293</v>
      </c>
      <c r="F41" s="29">
        <v>0.29166666666666669</v>
      </c>
      <c r="G41" s="29">
        <v>0.54166666666666663</v>
      </c>
      <c r="H41" s="29">
        <v>0.58333333333333337</v>
      </c>
      <c r="I41" s="29">
        <v>0.79166666666666663</v>
      </c>
      <c r="J41" s="30">
        <f t="shared" si="9"/>
        <v>10.999999999999996</v>
      </c>
      <c r="K41" s="30">
        <f t="shared" si="10"/>
        <v>2.9999999999999964</v>
      </c>
      <c r="L41" s="31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3.25" x14ac:dyDescent="0.35">
      <c r="A42" s="149"/>
      <c r="B42" s="146"/>
      <c r="C42" s="146"/>
      <c r="D42" s="27">
        <v>46096</v>
      </c>
      <c r="E42" s="28" t="s">
        <v>294</v>
      </c>
      <c r="F42" s="29"/>
      <c r="G42" s="29"/>
      <c r="H42" s="29"/>
      <c r="I42" s="29"/>
      <c r="J42" s="30">
        <f t="shared" si="9"/>
        <v>0</v>
      </c>
      <c r="K42" s="28"/>
      <c r="L42" s="31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3.25" x14ac:dyDescent="0.35">
      <c r="A43" s="149"/>
      <c r="B43" s="146"/>
      <c r="C43" s="146"/>
      <c r="D43" s="27">
        <v>46097</v>
      </c>
      <c r="E43" s="28" t="s">
        <v>295</v>
      </c>
      <c r="F43" s="29">
        <v>0.29166666666666669</v>
      </c>
      <c r="G43" s="29">
        <v>0.54166666666666663</v>
      </c>
      <c r="H43" s="29">
        <v>0.58333333333333337</v>
      </c>
      <c r="I43" s="29">
        <v>0.79166666666666663</v>
      </c>
      <c r="J43" s="30">
        <f t="shared" si="9"/>
        <v>10.999999999999996</v>
      </c>
      <c r="K43" s="30">
        <f t="shared" ref="K43:K45" si="11">J43-8</f>
        <v>2.9999999999999964</v>
      </c>
      <c r="L43" s="31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3.25" x14ac:dyDescent="0.35">
      <c r="A44" s="149"/>
      <c r="B44" s="146"/>
      <c r="C44" s="146"/>
      <c r="D44" s="27">
        <v>46098</v>
      </c>
      <c r="E44" s="28" t="s">
        <v>296</v>
      </c>
      <c r="F44" s="29">
        <v>0.29166666666666669</v>
      </c>
      <c r="G44" s="29">
        <v>0.54166666666666663</v>
      </c>
      <c r="H44" s="29">
        <v>0.58333333333333337</v>
      </c>
      <c r="I44" s="29">
        <v>0.75</v>
      </c>
      <c r="J44" s="30">
        <f t="shared" si="9"/>
        <v>9.9999999999999982</v>
      </c>
      <c r="K44" s="30">
        <f t="shared" si="11"/>
        <v>1.9999999999999982</v>
      </c>
      <c r="L44" s="31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3.25" x14ac:dyDescent="0.35">
      <c r="A45" s="149"/>
      <c r="B45" s="146"/>
      <c r="C45" s="146"/>
      <c r="D45" s="27">
        <v>46099</v>
      </c>
      <c r="E45" s="28" t="s">
        <v>297</v>
      </c>
      <c r="F45" s="29">
        <v>0.29166666666666669</v>
      </c>
      <c r="G45" s="29">
        <v>0.54166666666666663</v>
      </c>
      <c r="H45" s="29">
        <v>0.58333333333333337</v>
      </c>
      <c r="I45" s="29">
        <v>0.8125</v>
      </c>
      <c r="J45" s="30">
        <f t="shared" si="9"/>
        <v>11.499999999999998</v>
      </c>
      <c r="K45" s="32">
        <f t="shared" si="11"/>
        <v>3.4999999999999982</v>
      </c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3.25" x14ac:dyDescent="0.35">
      <c r="A46" s="149"/>
      <c r="B46" s="146"/>
      <c r="C46" s="146"/>
      <c r="D46" s="27"/>
      <c r="E46" s="28"/>
      <c r="F46" s="28"/>
      <c r="G46" s="28"/>
      <c r="H46" s="26"/>
      <c r="I46" s="34" t="s">
        <v>298</v>
      </c>
      <c r="J46" s="35">
        <v>880</v>
      </c>
      <c r="K46" s="34"/>
      <c r="L46" s="3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3.25" x14ac:dyDescent="0.35">
      <c r="A47" s="149"/>
      <c r="B47" s="146"/>
      <c r="C47" s="146"/>
      <c r="D47" s="27"/>
      <c r="E47" s="28"/>
      <c r="F47" s="28"/>
      <c r="G47" s="28"/>
      <c r="H47" s="37"/>
      <c r="I47" s="34" t="s">
        <v>299</v>
      </c>
      <c r="J47" s="35">
        <f>J46*(COUNTIF(J39:J45, "&gt;0.00"))</f>
        <v>5280</v>
      </c>
      <c r="K47" s="35">
        <f>(J46/8)*(SUM(K39:K45))</f>
        <v>1668.3333333333317</v>
      </c>
      <c r="L47" s="36">
        <f>SUM(L39:L45)</f>
        <v>0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3.25" x14ac:dyDescent="0.35">
      <c r="A48" s="150"/>
      <c r="B48" s="147"/>
      <c r="C48" s="147"/>
      <c r="D48" s="38"/>
      <c r="E48" s="39"/>
      <c r="F48" s="39"/>
      <c r="G48" s="39"/>
      <c r="H48" s="40"/>
      <c r="I48" s="41" t="s">
        <v>300</v>
      </c>
      <c r="J48" s="42">
        <f>SUM(J47:K47)-L47</f>
        <v>6948.3333333333321</v>
      </c>
      <c r="K48" s="34"/>
      <c r="L48" s="3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3.25" x14ac:dyDescent="0.35">
      <c r="A49" s="43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44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46.5" x14ac:dyDescent="0.35">
      <c r="A50" s="22" t="s">
        <v>93</v>
      </c>
      <c r="B50" s="23" t="s">
        <v>94</v>
      </c>
      <c r="C50" s="23" t="s">
        <v>1</v>
      </c>
      <c r="D50" s="49" t="s">
        <v>284</v>
      </c>
      <c r="E50" s="49" t="s">
        <v>285</v>
      </c>
      <c r="F50" s="49" t="s">
        <v>286</v>
      </c>
      <c r="G50" s="49" t="s">
        <v>287</v>
      </c>
      <c r="H50" s="49" t="s">
        <v>286</v>
      </c>
      <c r="I50" s="49" t="s">
        <v>287</v>
      </c>
      <c r="J50" s="49" t="s">
        <v>288</v>
      </c>
      <c r="K50" s="49" t="s">
        <v>234</v>
      </c>
      <c r="L50" s="50" t="s">
        <v>302</v>
      </c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3.25" x14ac:dyDescent="0.35">
      <c r="A51" s="148" t="s">
        <v>28</v>
      </c>
      <c r="B51" s="145" t="s">
        <v>29</v>
      </c>
      <c r="C51" s="145" t="s">
        <v>301</v>
      </c>
      <c r="D51" s="27">
        <v>46093</v>
      </c>
      <c r="E51" s="51" t="s">
        <v>291</v>
      </c>
      <c r="F51" s="52">
        <v>0.33333333333333331</v>
      </c>
      <c r="G51" s="52">
        <v>0.54166666666666663</v>
      </c>
      <c r="H51" s="52">
        <v>0.58333333333333337</v>
      </c>
      <c r="I51" s="52">
        <v>0.77083333333333337</v>
      </c>
      <c r="J51" s="53">
        <f t="shared" ref="J51:J57" si="12">(((I51-H51)+(G51-F51))*24)</f>
        <v>9.5</v>
      </c>
      <c r="K51" s="53">
        <f t="shared" ref="K51:K53" si="13">J51-8</f>
        <v>1.5</v>
      </c>
      <c r="L51" s="54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3.25" x14ac:dyDescent="0.35">
      <c r="A52" s="149"/>
      <c r="B52" s="146"/>
      <c r="C52" s="146"/>
      <c r="D52" s="27">
        <v>46094</v>
      </c>
      <c r="E52" s="51" t="s">
        <v>292</v>
      </c>
      <c r="F52" s="52">
        <v>0.33333333333333331</v>
      </c>
      <c r="G52" s="52">
        <v>0.54166666666666663</v>
      </c>
      <c r="H52" s="52">
        <v>0.58333333333333337</v>
      </c>
      <c r="I52" s="52">
        <v>0.75</v>
      </c>
      <c r="J52" s="53">
        <f t="shared" si="12"/>
        <v>8.9999999999999982</v>
      </c>
      <c r="K52" s="53">
        <f t="shared" si="13"/>
        <v>0.99999999999999822</v>
      </c>
      <c r="L52" s="54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3.25" x14ac:dyDescent="0.35">
      <c r="A53" s="149"/>
      <c r="B53" s="146"/>
      <c r="C53" s="146"/>
      <c r="D53" s="27">
        <v>46095</v>
      </c>
      <c r="E53" s="51" t="s">
        <v>293</v>
      </c>
      <c r="F53" s="52">
        <v>0.29166666666666669</v>
      </c>
      <c r="G53" s="52">
        <v>0.54166666666666663</v>
      </c>
      <c r="H53" s="52">
        <v>0.58333333333333337</v>
      </c>
      <c r="I53" s="52">
        <v>0.79166666666666663</v>
      </c>
      <c r="J53" s="53">
        <f t="shared" si="12"/>
        <v>10.999999999999996</v>
      </c>
      <c r="K53" s="53">
        <f t="shared" si="13"/>
        <v>2.9999999999999964</v>
      </c>
      <c r="L53" s="54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3.25" x14ac:dyDescent="0.35">
      <c r="A54" s="149"/>
      <c r="B54" s="146"/>
      <c r="C54" s="146"/>
      <c r="D54" s="27">
        <v>46096</v>
      </c>
      <c r="E54" s="51" t="s">
        <v>294</v>
      </c>
      <c r="F54" s="52"/>
      <c r="G54" s="52"/>
      <c r="H54" s="52"/>
      <c r="I54" s="52"/>
      <c r="J54" s="53">
        <f t="shared" si="12"/>
        <v>0</v>
      </c>
      <c r="K54" s="51"/>
      <c r="L54" s="54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3.25" x14ac:dyDescent="0.35">
      <c r="A55" s="149"/>
      <c r="B55" s="146"/>
      <c r="C55" s="146"/>
      <c r="D55" s="27">
        <v>46097</v>
      </c>
      <c r="E55" s="51" t="s">
        <v>295</v>
      </c>
      <c r="F55" s="52">
        <v>0.29166666666666669</v>
      </c>
      <c r="G55" s="52">
        <v>0.54166666666666663</v>
      </c>
      <c r="H55" s="52">
        <v>0.58333333333333337</v>
      </c>
      <c r="I55" s="52">
        <v>0.79861111111111116</v>
      </c>
      <c r="J55" s="53">
        <f t="shared" si="12"/>
        <v>11.166666666666666</v>
      </c>
      <c r="K55" s="53">
        <f t="shared" ref="K55:K57" si="14">J55-8</f>
        <v>3.1666666666666661</v>
      </c>
      <c r="L55" s="54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3.25" x14ac:dyDescent="0.35">
      <c r="A56" s="149"/>
      <c r="B56" s="146"/>
      <c r="C56" s="146"/>
      <c r="D56" s="27">
        <v>46098</v>
      </c>
      <c r="E56" s="51" t="s">
        <v>296</v>
      </c>
      <c r="F56" s="52">
        <v>0.29166666666666669</v>
      </c>
      <c r="G56" s="52">
        <v>0.54166666666666663</v>
      </c>
      <c r="H56" s="52">
        <v>0.58333333333333337</v>
      </c>
      <c r="I56" s="52">
        <v>0.76388888888888884</v>
      </c>
      <c r="J56" s="53">
        <f t="shared" si="12"/>
        <v>10.33333333333333</v>
      </c>
      <c r="K56" s="53">
        <f t="shared" si="14"/>
        <v>2.3333333333333304</v>
      </c>
      <c r="L56" s="54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46.5" x14ac:dyDescent="0.35">
      <c r="A57" s="149"/>
      <c r="B57" s="146"/>
      <c r="C57" s="146"/>
      <c r="D57" s="27">
        <v>46099</v>
      </c>
      <c r="E57" s="51" t="s">
        <v>297</v>
      </c>
      <c r="F57" s="52">
        <v>0.29166666666666669</v>
      </c>
      <c r="G57" s="52">
        <v>0.54166666666666663</v>
      </c>
      <c r="H57" s="52">
        <v>0.58333333333333337</v>
      </c>
      <c r="I57" s="134">
        <v>0.8125</v>
      </c>
      <c r="J57" s="53">
        <f t="shared" si="12"/>
        <v>11.499999999999998</v>
      </c>
      <c r="K57" s="55">
        <f t="shared" si="14"/>
        <v>3.4999999999999982</v>
      </c>
      <c r="L57" s="5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3.25" x14ac:dyDescent="0.35">
      <c r="A58" s="149"/>
      <c r="B58" s="146"/>
      <c r="C58" s="146"/>
      <c r="D58" s="57"/>
      <c r="E58" s="51"/>
      <c r="F58" s="51"/>
      <c r="G58" s="51"/>
      <c r="H58" s="43"/>
      <c r="I58" s="58" t="s">
        <v>298</v>
      </c>
      <c r="J58" s="59">
        <v>880</v>
      </c>
      <c r="K58" s="58"/>
      <c r="L58" s="60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46.5" x14ac:dyDescent="0.35">
      <c r="A59" s="149"/>
      <c r="B59" s="146"/>
      <c r="C59" s="146"/>
      <c r="D59" s="57"/>
      <c r="E59" s="51"/>
      <c r="F59" s="51"/>
      <c r="G59" s="51"/>
      <c r="H59" s="61"/>
      <c r="I59" s="58" t="s">
        <v>299</v>
      </c>
      <c r="J59" s="35">
        <f>J58*(COUNTIF(J51:J57, "&gt;0.00"))</f>
        <v>5280</v>
      </c>
      <c r="K59" s="35">
        <f>(J58/8)*(SUM(K51:K57))</f>
        <v>1594.9999999999989</v>
      </c>
      <c r="L59" s="36">
        <f>SUM(L51:L57)</f>
        <v>0</v>
      </c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3.25" x14ac:dyDescent="0.35">
      <c r="A60" s="150"/>
      <c r="B60" s="147"/>
      <c r="C60" s="147"/>
      <c r="D60" s="62"/>
      <c r="E60" s="63"/>
      <c r="F60" s="63"/>
      <c r="G60" s="63"/>
      <c r="H60" s="64"/>
      <c r="I60" s="65" t="s">
        <v>300</v>
      </c>
      <c r="J60" s="42">
        <f>SUM(J59:K59)-L59</f>
        <v>6874.9999999999991</v>
      </c>
      <c r="K60" s="34"/>
      <c r="L60" s="3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23.25" x14ac:dyDescent="0.35">
      <c r="A61" s="43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44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46.5" x14ac:dyDescent="0.35">
      <c r="A62" s="22" t="s">
        <v>93</v>
      </c>
      <c r="B62" s="23" t="s">
        <v>94</v>
      </c>
      <c r="C62" s="23" t="s">
        <v>1</v>
      </c>
      <c r="D62" s="24" t="s">
        <v>284</v>
      </c>
      <c r="E62" s="24" t="s">
        <v>285</v>
      </c>
      <c r="F62" s="24" t="s">
        <v>286</v>
      </c>
      <c r="G62" s="24" t="s">
        <v>287</v>
      </c>
      <c r="H62" s="24" t="s">
        <v>286</v>
      </c>
      <c r="I62" s="24" t="s">
        <v>287</v>
      </c>
      <c r="J62" s="24" t="s">
        <v>288</v>
      </c>
      <c r="K62" s="24" t="s">
        <v>234</v>
      </c>
      <c r="L62" s="25" t="s">
        <v>302</v>
      </c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3.25" x14ac:dyDescent="0.35">
      <c r="A63" s="148" t="s">
        <v>31</v>
      </c>
      <c r="B63" s="145" t="s">
        <v>32</v>
      </c>
      <c r="C63" s="145" t="s">
        <v>16</v>
      </c>
      <c r="D63" s="27">
        <v>46093</v>
      </c>
      <c r="E63" s="28" t="s">
        <v>291</v>
      </c>
      <c r="F63" s="29">
        <v>0.29166666666666669</v>
      </c>
      <c r="G63" s="29">
        <v>0.54166666666666663</v>
      </c>
      <c r="H63" s="29">
        <v>0.58333333333333337</v>
      </c>
      <c r="I63" s="29">
        <v>0.77083333333333337</v>
      </c>
      <c r="J63" s="30">
        <f t="shared" ref="J63:J69" si="15">(((I63-H63)+(G63-F63))*24)</f>
        <v>10.499999999999998</v>
      </c>
      <c r="K63" s="30">
        <f t="shared" ref="K63:K65" si="16">J63-8</f>
        <v>2.4999999999999982</v>
      </c>
      <c r="L63" s="31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3.25" x14ac:dyDescent="0.35">
      <c r="A64" s="149"/>
      <c r="B64" s="146"/>
      <c r="C64" s="146"/>
      <c r="D64" s="27">
        <v>46094</v>
      </c>
      <c r="E64" s="28" t="s">
        <v>292</v>
      </c>
      <c r="F64" s="29">
        <v>0.3298611111111111</v>
      </c>
      <c r="G64" s="29">
        <v>0.54166666666666663</v>
      </c>
      <c r="H64" s="29">
        <v>0.58333333333333337</v>
      </c>
      <c r="I64" s="29">
        <v>0.72916666666666663</v>
      </c>
      <c r="J64" s="30">
        <f t="shared" si="15"/>
        <v>8.5833333333333304</v>
      </c>
      <c r="K64" s="30">
        <f t="shared" si="16"/>
        <v>0.58333333333333037</v>
      </c>
      <c r="L64" s="31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3.25" x14ac:dyDescent="0.35">
      <c r="A65" s="149"/>
      <c r="B65" s="146"/>
      <c r="C65" s="146"/>
      <c r="D65" s="27">
        <v>46095</v>
      </c>
      <c r="E65" s="28" t="s">
        <v>293</v>
      </c>
      <c r="F65" s="29">
        <v>0.29166666666666669</v>
      </c>
      <c r="G65" s="29">
        <v>0.54166666666666663</v>
      </c>
      <c r="H65" s="29">
        <v>0.58333333333333337</v>
      </c>
      <c r="I65" s="29">
        <v>0.79166666666666663</v>
      </c>
      <c r="J65" s="30">
        <f t="shared" si="15"/>
        <v>10.999999999999996</v>
      </c>
      <c r="K65" s="30">
        <f t="shared" si="16"/>
        <v>2.9999999999999964</v>
      </c>
      <c r="L65" s="31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3.25" x14ac:dyDescent="0.35">
      <c r="A66" s="149"/>
      <c r="B66" s="146"/>
      <c r="C66" s="146"/>
      <c r="D66" s="27">
        <v>46096</v>
      </c>
      <c r="E66" s="28" t="s">
        <v>294</v>
      </c>
      <c r="F66" s="29"/>
      <c r="G66" s="29"/>
      <c r="H66" s="29"/>
      <c r="I66" s="29"/>
      <c r="J66" s="30">
        <f t="shared" si="15"/>
        <v>0</v>
      </c>
      <c r="K66" s="28"/>
      <c r="L66" s="31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3.25" x14ac:dyDescent="0.35">
      <c r="A67" s="149"/>
      <c r="B67" s="146"/>
      <c r="C67" s="146"/>
      <c r="D67" s="27">
        <v>46097</v>
      </c>
      <c r="E67" s="28" t="s">
        <v>295</v>
      </c>
      <c r="F67" s="29">
        <v>0.29166666666666669</v>
      </c>
      <c r="G67" s="29">
        <v>0.54166666666666663</v>
      </c>
      <c r="H67" s="29">
        <v>0.58333333333333337</v>
      </c>
      <c r="I67" s="29">
        <v>0.79166666666666663</v>
      </c>
      <c r="J67" s="30">
        <f t="shared" si="15"/>
        <v>10.999999999999996</v>
      </c>
      <c r="K67" s="30">
        <f t="shared" ref="K67:K69" si="17">J67-8</f>
        <v>2.9999999999999964</v>
      </c>
      <c r="L67" s="31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3.25" x14ac:dyDescent="0.35">
      <c r="A68" s="149"/>
      <c r="B68" s="146"/>
      <c r="C68" s="146"/>
      <c r="D68" s="27">
        <v>46098</v>
      </c>
      <c r="E68" s="28" t="s">
        <v>296</v>
      </c>
      <c r="F68" s="29">
        <v>0.29166666666666669</v>
      </c>
      <c r="G68" s="29">
        <v>0.54166666666666663</v>
      </c>
      <c r="H68" s="29">
        <v>0.58333333333333337</v>
      </c>
      <c r="I68" s="29">
        <v>0.75</v>
      </c>
      <c r="J68" s="30">
        <f t="shared" si="15"/>
        <v>9.9999999999999982</v>
      </c>
      <c r="K68" s="30">
        <f t="shared" si="17"/>
        <v>1.9999999999999982</v>
      </c>
      <c r="L68" s="31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3.25" x14ac:dyDescent="0.35">
      <c r="A69" s="149"/>
      <c r="B69" s="146"/>
      <c r="C69" s="146"/>
      <c r="D69" s="27">
        <v>46099</v>
      </c>
      <c r="E69" s="28" t="s">
        <v>297</v>
      </c>
      <c r="F69" s="29">
        <v>0.29166666666666669</v>
      </c>
      <c r="G69" s="29">
        <v>0.54166666666666663</v>
      </c>
      <c r="H69" s="29">
        <v>0.58333333333333337</v>
      </c>
      <c r="I69" s="29">
        <v>0.8125</v>
      </c>
      <c r="J69" s="30">
        <f t="shared" si="15"/>
        <v>11.499999999999998</v>
      </c>
      <c r="K69" s="32">
        <f t="shared" si="17"/>
        <v>3.4999999999999982</v>
      </c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3.25" x14ac:dyDescent="0.35">
      <c r="A70" s="149"/>
      <c r="B70" s="146"/>
      <c r="C70" s="146"/>
      <c r="D70" s="27"/>
      <c r="E70" s="28"/>
      <c r="F70" s="28"/>
      <c r="G70" s="28"/>
      <c r="H70" s="26"/>
      <c r="I70" s="34" t="s">
        <v>298</v>
      </c>
      <c r="J70" s="35">
        <v>1100</v>
      </c>
      <c r="K70" s="34"/>
      <c r="L70" s="3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3.25" x14ac:dyDescent="0.35">
      <c r="A71" s="149"/>
      <c r="B71" s="146"/>
      <c r="C71" s="146"/>
      <c r="D71" s="27"/>
      <c r="E71" s="28"/>
      <c r="F71" s="28"/>
      <c r="G71" s="28"/>
      <c r="H71" s="37"/>
      <c r="I71" s="34" t="s">
        <v>299</v>
      </c>
      <c r="J71" s="35">
        <f>J70*(COUNTIF(J63:J69, "&gt;0.00"))</f>
        <v>6600</v>
      </c>
      <c r="K71" s="35">
        <f>(J70/8)*(SUM(K63:K69))</f>
        <v>2005.2083333333312</v>
      </c>
      <c r="L71" s="36">
        <f>SUM(L63:L69)</f>
        <v>0</v>
      </c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3.25" x14ac:dyDescent="0.35">
      <c r="A72" s="150"/>
      <c r="B72" s="147"/>
      <c r="C72" s="147"/>
      <c r="D72" s="38"/>
      <c r="E72" s="39"/>
      <c r="F72" s="39"/>
      <c r="G72" s="39"/>
      <c r="H72" s="40"/>
      <c r="I72" s="41" t="s">
        <v>300</v>
      </c>
      <c r="J72" s="42">
        <f>SUM(J71:K71)-L71</f>
        <v>8605.2083333333321</v>
      </c>
      <c r="K72" s="34"/>
      <c r="L72" s="3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23.25" x14ac:dyDescent="0.35">
      <c r="A73" s="43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44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46.5" x14ac:dyDescent="0.35">
      <c r="A74" s="22" t="s">
        <v>93</v>
      </c>
      <c r="B74" s="23" t="s">
        <v>94</v>
      </c>
      <c r="C74" s="23" t="s">
        <v>1</v>
      </c>
      <c r="D74" s="24" t="s">
        <v>284</v>
      </c>
      <c r="E74" s="24" t="s">
        <v>285</v>
      </c>
      <c r="F74" s="24" t="s">
        <v>286</v>
      </c>
      <c r="G74" s="24" t="s">
        <v>287</v>
      </c>
      <c r="H74" s="24" t="s">
        <v>286</v>
      </c>
      <c r="I74" s="24" t="s">
        <v>287</v>
      </c>
      <c r="J74" s="24" t="s">
        <v>288</v>
      </c>
      <c r="K74" s="24" t="s">
        <v>234</v>
      </c>
      <c r="L74" s="25" t="s">
        <v>302</v>
      </c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3.25" x14ac:dyDescent="0.35">
      <c r="A75" s="148" t="s">
        <v>33</v>
      </c>
      <c r="B75" s="145" t="s">
        <v>34</v>
      </c>
      <c r="C75" s="145" t="s">
        <v>16</v>
      </c>
      <c r="D75" s="27">
        <v>46093</v>
      </c>
      <c r="E75" s="28" t="s">
        <v>291</v>
      </c>
      <c r="F75" s="29">
        <v>0.29166666666666669</v>
      </c>
      <c r="G75" s="29">
        <v>0.54166666666666663</v>
      </c>
      <c r="H75" s="29">
        <v>0.58333333333333337</v>
      </c>
      <c r="I75" s="29">
        <v>0.75</v>
      </c>
      <c r="J75" s="30">
        <f t="shared" ref="J75:J81" si="18">(((I75-H75)+(G75-F75))*24)</f>
        <v>9.9999999999999982</v>
      </c>
      <c r="K75" s="30">
        <f t="shared" ref="K75:K77" si="19">J75-8</f>
        <v>1.9999999999999982</v>
      </c>
      <c r="L75" s="31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3.25" x14ac:dyDescent="0.35">
      <c r="A76" s="149"/>
      <c r="B76" s="146"/>
      <c r="C76" s="146"/>
      <c r="D76" s="27">
        <v>46094</v>
      </c>
      <c r="E76" s="28" t="s">
        <v>292</v>
      </c>
      <c r="F76" s="29">
        <v>0.33333333333333331</v>
      </c>
      <c r="G76" s="29">
        <v>0.54166666666666663</v>
      </c>
      <c r="H76" s="29">
        <v>0.58333333333333337</v>
      </c>
      <c r="I76" s="29">
        <v>0.72916666666666663</v>
      </c>
      <c r="J76" s="30">
        <f t="shared" si="18"/>
        <v>8.4999999999999982</v>
      </c>
      <c r="K76" s="30">
        <f t="shared" si="19"/>
        <v>0.49999999999999822</v>
      </c>
      <c r="L76" s="31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3.25" x14ac:dyDescent="0.35">
      <c r="A77" s="149"/>
      <c r="B77" s="146"/>
      <c r="C77" s="146"/>
      <c r="D77" s="27">
        <v>46095</v>
      </c>
      <c r="E77" s="28" t="s">
        <v>293</v>
      </c>
      <c r="F77" s="29">
        <v>0.29166666666666669</v>
      </c>
      <c r="G77" s="29">
        <v>0.54166666666666663</v>
      </c>
      <c r="H77" s="29">
        <v>0.58333333333333337</v>
      </c>
      <c r="I77" s="29">
        <v>0.77430555555555558</v>
      </c>
      <c r="J77" s="30">
        <f t="shared" si="18"/>
        <v>10.583333333333332</v>
      </c>
      <c r="K77" s="30">
        <f t="shared" si="19"/>
        <v>2.5833333333333321</v>
      </c>
      <c r="L77" s="31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3.25" x14ac:dyDescent="0.35">
      <c r="A78" s="149"/>
      <c r="B78" s="146"/>
      <c r="C78" s="146"/>
      <c r="D78" s="27">
        <v>46096</v>
      </c>
      <c r="E78" s="28" t="s">
        <v>294</v>
      </c>
      <c r="F78" s="29"/>
      <c r="G78" s="29"/>
      <c r="H78" s="29"/>
      <c r="I78" s="29"/>
      <c r="J78" s="30">
        <f t="shared" si="18"/>
        <v>0</v>
      </c>
      <c r="K78" s="28"/>
      <c r="L78" s="31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3.25" x14ac:dyDescent="0.35">
      <c r="A79" s="149"/>
      <c r="B79" s="146"/>
      <c r="C79" s="146"/>
      <c r="D79" s="27">
        <v>46097</v>
      </c>
      <c r="E79" s="28" t="s">
        <v>295</v>
      </c>
      <c r="F79" s="29">
        <v>0.29166666666666669</v>
      </c>
      <c r="G79" s="29">
        <v>0.54166666666666663</v>
      </c>
      <c r="H79" s="29">
        <v>0.58333333333333337</v>
      </c>
      <c r="I79" s="29">
        <v>0.79166666666666663</v>
      </c>
      <c r="J79" s="30">
        <f t="shared" si="18"/>
        <v>10.999999999999996</v>
      </c>
      <c r="K79" s="30">
        <f t="shared" ref="K79:K81" si="20">J79-8</f>
        <v>2.9999999999999964</v>
      </c>
      <c r="L79" s="31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3.25" x14ac:dyDescent="0.35">
      <c r="A80" s="149"/>
      <c r="B80" s="146"/>
      <c r="C80" s="146"/>
      <c r="D80" s="27">
        <v>46098</v>
      </c>
      <c r="E80" s="28" t="s">
        <v>296</v>
      </c>
      <c r="F80" s="29">
        <v>0.29166666666666669</v>
      </c>
      <c r="G80" s="29">
        <v>0.54166666666666663</v>
      </c>
      <c r="H80" s="29">
        <v>0.58333333333333337</v>
      </c>
      <c r="I80" s="29">
        <v>0.75</v>
      </c>
      <c r="J80" s="30">
        <f t="shared" si="18"/>
        <v>9.9999999999999982</v>
      </c>
      <c r="K80" s="30">
        <f t="shared" si="20"/>
        <v>1.9999999999999982</v>
      </c>
      <c r="L80" s="31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3.25" x14ac:dyDescent="0.35">
      <c r="A81" s="149"/>
      <c r="B81" s="146"/>
      <c r="C81" s="146"/>
      <c r="D81" s="27">
        <v>46099</v>
      </c>
      <c r="E81" s="28" t="s">
        <v>297</v>
      </c>
      <c r="F81" s="29">
        <v>0.29166666666666669</v>
      </c>
      <c r="G81" s="29">
        <v>0.54166666666666663</v>
      </c>
      <c r="H81" s="29">
        <v>0.58333333333333337</v>
      </c>
      <c r="I81" s="29">
        <v>0.8125</v>
      </c>
      <c r="J81" s="30">
        <f t="shared" si="18"/>
        <v>11.499999999999998</v>
      </c>
      <c r="K81" s="32">
        <f t="shared" si="20"/>
        <v>3.4999999999999982</v>
      </c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3.25" x14ac:dyDescent="0.35">
      <c r="A82" s="149"/>
      <c r="B82" s="146"/>
      <c r="C82" s="146"/>
      <c r="D82" s="27"/>
      <c r="E82" s="28"/>
      <c r="F82" s="28"/>
      <c r="G82" s="28"/>
      <c r="H82" s="26"/>
      <c r="I82" s="34" t="s">
        <v>298</v>
      </c>
      <c r="J82" s="35">
        <v>1100</v>
      </c>
      <c r="K82" s="34"/>
      <c r="L82" s="3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3.25" x14ac:dyDescent="0.35">
      <c r="A83" s="149"/>
      <c r="B83" s="146"/>
      <c r="C83" s="146"/>
      <c r="D83" s="27"/>
      <c r="E83" s="28"/>
      <c r="F83" s="28"/>
      <c r="G83" s="28"/>
      <c r="H83" s="37"/>
      <c r="I83" s="34" t="s">
        <v>299</v>
      </c>
      <c r="J83" s="35">
        <f>J82*(COUNTIF(J75:J81, "&gt;0.00"))</f>
        <v>6600</v>
      </c>
      <c r="K83" s="35">
        <f>(J82/8)*(SUM(K75:K81))</f>
        <v>1867.7083333333317</v>
      </c>
      <c r="L83" s="36">
        <f>SUM(L75:L81)</f>
        <v>0</v>
      </c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3.25" x14ac:dyDescent="0.35">
      <c r="A84" s="150"/>
      <c r="B84" s="147"/>
      <c r="C84" s="147"/>
      <c r="D84" s="38"/>
      <c r="E84" s="39"/>
      <c r="F84" s="39"/>
      <c r="G84" s="39"/>
      <c r="H84" s="40"/>
      <c r="I84" s="41" t="s">
        <v>300</v>
      </c>
      <c r="J84" s="42">
        <f>SUM(J83:K83)-L83</f>
        <v>8467.7083333333321</v>
      </c>
      <c r="K84" s="34"/>
      <c r="L84" s="3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23.25" x14ac:dyDescent="0.35">
      <c r="A85" s="43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44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46.5" x14ac:dyDescent="0.35">
      <c r="A86" s="22" t="s">
        <v>93</v>
      </c>
      <c r="B86" s="23" t="s">
        <v>94</v>
      </c>
      <c r="C86" s="23" t="s">
        <v>1</v>
      </c>
      <c r="D86" s="24" t="s">
        <v>284</v>
      </c>
      <c r="E86" s="24" t="s">
        <v>285</v>
      </c>
      <c r="F86" s="24" t="s">
        <v>286</v>
      </c>
      <c r="G86" s="24" t="s">
        <v>287</v>
      </c>
      <c r="H86" s="24" t="s">
        <v>286</v>
      </c>
      <c r="I86" s="24" t="s">
        <v>287</v>
      </c>
      <c r="J86" s="24" t="s">
        <v>288</v>
      </c>
      <c r="K86" s="24" t="s">
        <v>234</v>
      </c>
      <c r="L86" s="25" t="s">
        <v>302</v>
      </c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3.25" x14ac:dyDescent="0.35">
      <c r="A87" s="148" t="s">
        <v>40</v>
      </c>
      <c r="B87" s="145" t="s">
        <v>41</v>
      </c>
      <c r="C87" s="145" t="s">
        <v>301</v>
      </c>
      <c r="D87" s="27">
        <v>46093</v>
      </c>
      <c r="E87" s="28" t="s">
        <v>291</v>
      </c>
      <c r="F87" s="29">
        <v>0.29166666666666669</v>
      </c>
      <c r="G87" s="29">
        <v>0.54166666666666663</v>
      </c>
      <c r="H87" s="29">
        <v>0.58333333333333337</v>
      </c>
      <c r="I87" s="29">
        <v>0.75</v>
      </c>
      <c r="J87" s="30">
        <f t="shared" ref="J87:J93" si="21">(((I87-H87)+(G87-F87))*24)</f>
        <v>9.9999999999999982</v>
      </c>
      <c r="K87" s="30">
        <f t="shared" ref="K87:K89" si="22">J87-8</f>
        <v>1.9999999999999982</v>
      </c>
      <c r="L87" s="31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3.25" x14ac:dyDescent="0.35">
      <c r="A88" s="149"/>
      <c r="B88" s="146"/>
      <c r="C88" s="146"/>
      <c r="D88" s="27">
        <v>46094</v>
      </c>
      <c r="E88" s="28" t="s">
        <v>292</v>
      </c>
      <c r="F88" s="29">
        <v>0.33333333333333331</v>
      </c>
      <c r="G88" s="29">
        <v>0.54166666666666663</v>
      </c>
      <c r="H88" s="29">
        <v>0.58333333333333337</v>
      </c>
      <c r="I88" s="29">
        <v>0.72916666666666663</v>
      </c>
      <c r="J88" s="30">
        <f t="shared" si="21"/>
        <v>8.4999999999999982</v>
      </c>
      <c r="K88" s="30">
        <f t="shared" si="22"/>
        <v>0.49999999999999822</v>
      </c>
      <c r="L88" s="31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3.25" x14ac:dyDescent="0.35">
      <c r="A89" s="149"/>
      <c r="B89" s="146"/>
      <c r="C89" s="146"/>
      <c r="D89" s="27">
        <v>46095</v>
      </c>
      <c r="E89" s="28" t="s">
        <v>293</v>
      </c>
      <c r="F89" s="29">
        <v>0.2986111111111111</v>
      </c>
      <c r="G89" s="29">
        <v>0.54166666666666663</v>
      </c>
      <c r="H89" s="29">
        <v>0.58333333333333337</v>
      </c>
      <c r="I89" s="29">
        <v>0.79166666666666663</v>
      </c>
      <c r="J89" s="30">
        <f t="shared" si="21"/>
        <v>10.83333333333333</v>
      </c>
      <c r="K89" s="30">
        <f t="shared" si="22"/>
        <v>2.8333333333333304</v>
      </c>
      <c r="L89" s="31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3.25" x14ac:dyDescent="0.35">
      <c r="A90" s="149"/>
      <c r="B90" s="146"/>
      <c r="C90" s="146"/>
      <c r="D90" s="27">
        <v>46096</v>
      </c>
      <c r="E90" s="28" t="s">
        <v>294</v>
      </c>
      <c r="F90" s="29"/>
      <c r="G90" s="29"/>
      <c r="H90" s="29"/>
      <c r="I90" s="29"/>
      <c r="J90" s="30">
        <f t="shared" si="21"/>
        <v>0</v>
      </c>
      <c r="K90" s="28"/>
      <c r="L90" s="31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3.25" x14ac:dyDescent="0.35">
      <c r="A91" s="149"/>
      <c r="B91" s="146"/>
      <c r="C91" s="146"/>
      <c r="D91" s="27">
        <v>46097</v>
      </c>
      <c r="E91" s="28" t="s">
        <v>295</v>
      </c>
      <c r="F91" s="29">
        <v>0.29166666666666669</v>
      </c>
      <c r="G91" s="135">
        <v>0.54166666666666663</v>
      </c>
      <c r="H91" s="135">
        <v>0.58333333333333337</v>
      </c>
      <c r="I91" s="29">
        <v>0.79166666666666663</v>
      </c>
      <c r="J91" s="30">
        <f t="shared" si="21"/>
        <v>10.999999999999996</v>
      </c>
      <c r="K91" s="30">
        <f t="shared" ref="K91:K93" si="23">J91-8</f>
        <v>2.9999999999999964</v>
      </c>
      <c r="L91" s="31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3.25" x14ac:dyDescent="0.35">
      <c r="A92" s="149"/>
      <c r="B92" s="146"/>
      <c r="C92" s="146"/>
      <c r="D92" s="27">
        <v>46098</v>
      </c>
      <c r="E92" s="28" t="s">
        <v>296</v>
      </c>
      <c r="F92" s="29">
        <v>0.29166666666666669</v>
      </c>
      <c r="G92" s="29">
        <v>0.54166666666666663</v>
      </c>
      <c r="H92" s="29">
        <v>0.58333333333333337</v>
      </c>
      <c r="I92" s="29">
        <v>0.75</v>
      </c>
      <c r="J92" s="30">
        <f t="shared" si="21"/>
        <v>9.9999999999999982</v>
      </c>
      <c r="K92" s="30">
        <f t="shared" si="23"/>
        <v>1.9999999999999982</v>
      </c>
      <c r="L92" s="31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3.25" x14ac:dyDescent="0.35">
      <c r="A93" s="149"/>
      <c r="B93" s="146"/>
      <c r="C93" s="146"/>
      <c r="D93" s="27">
        <v>46099</v>
      </c>
      <c r="E93" s="28" t="s">
        <v>297</v>
      </c>
      <c r="F93" s="29">
        <v>0.29166666666666669</v>
      </c>
      <c r="G93" s="29">
        <v>0.54166666666666663</v>
      </c>
      <c r="H93" s="29">
        <v>0.58333333333333337</v>
      </c>
      <c r="I93" s="29">
        <v>0.8125</v>
      </c>
      <c r="J93" s="30">
        <f t="shared" si="21"/>
        <v>11.499999999999998</v>
      </c>
      <c r="K93" s="32">
        <f t="shared" si="23"/>
        <v>3.4999999999999982</v>
      </c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3.25" x14ac:dyDescent="0.35">
      <c r="A94" s="149"/>
      <c r="B94" s="146"/>
      <c r="C94" s="146"/>
      <c r="D94" s="27"/>
      <c r="E94" s="28"/>
      <c r="F94" s="28"/>
      <c r="G94" s="28"/>
      <c r="H94" s="26"/>
      <c r="I94" s="34" t="s">
        <v>298</v>
      </c>
      <c r="J94" s="132">
        <v>880</v>
      </c>
      <c r="K94" s="34"/>
      <c r="L94" s="3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3.25" x14ac:dyDescent="0.35">
      <c r="A95" s="149"/>
      <c r="B95" s="146"/>
      <c r="C95" s="146"/>
      <c r="D95" s="27"/>
      <c r="E95" s="28"/>
      <c r="F95" s="28"/>
      <c r="G95" s="28"/>
      <c r="H95" s="37"/>
      <c r="I95" s="34" t="s">
        <v>299</v>
      </c>
      <c r="J95" s="35">
        <f>J94*(COUNTIF(J87:J93, "&gt;0.00"))</f>
        <v>5280</v>
      </c>
      <c r="K95" s="35">
        <f>(J94/8)*(SUM(K87:K93))</f>
        <v>1521.6666666666652</v>
      </c>
      <c r="L95" s="36">
        <f>SUM(L87:L93)</f>
        <v>0</v>
      </c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3.25" x14ac:dyDescent="0.35">
      <c r="A96" s="150"/>
      <c r="B96" s="147"/>
      <c r="C96" s="147"/>
      <c r="D96" s="38"/>
      <c r="E96" s="39"/>
      <c r="F96" s="39"/>
      <c r="G96" s="39"/>
      <c r="H96" s="40"/>
      <c r="I96" s="41" t="s">
        <v>300</v>
      </c>
      <c r="J96" s="42">
        <f>SUM(J95:K95)-L95</f>
        <v>6801.6666666666652</v>
      </c>
      <c r="K96" s="34"/>
      <c r="L96" s="3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23.25" x14ac:dyDescent="0.35">
      <c r="A97" s="43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44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46.5" x14ac:dyDescent="0.35">
      <c r="A98" s="22" t="s">
        <v>93</v>
      </c>
      <c r="B98" s="23" t="s">
        <v>94</v>
      </c>
      <c r="C98" s="23" t="s">
        <v>1</v>
      </c>
      <c r="D98" s="24" t="s">
        <v>284</v>
      </c>
      <c r="E98" s="24" t="s">
        <v>285</v>
      </c>
      <c r="F98" s="24" t="s">
        <v>286</v>
      </c>
      <c r="G98" s="24" t="s">
        <v>287</v>
      </c>
      <c r="H98" s="24" t="s">
        <v>286</v>
      </c>
      <c r="I98" s="24" t="s">
        <v>287</v>
      </c>
      <c r="J98" s="24" t="s">
        <v>288</v>
      </c>
      <c r="K98" s="24" t="s">
        <v>234</v>
      </c>
      <c r="L98" s="25" t="s">
        <v>302</v>
      </c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3.25" x14ac:dyDescent="0.35">
      <c r="A99" s="148" t="s">
        <v>57</v>
      </c>
      <c r="B99" s="145" t="s">
        <v>58</v>
      </c>
      <c r="C99" s="145" t="s">
        <v>301</v>
      </c>
      <c r="D99" s="27">
        <v>46093</v>
      </c>
      <c r="E99" s="28" t="s">
        <v>291</v>
      </c>
      <c r="F99" s="29">
        <v>0.29166666666666669</v>
      </c>
      <c r="G99" s="29">
        <v>0.54166666666666663</v>
      </c>
      <c r="H99" s="29">
        <v>0.58333333333333337</v>
      </c>
      <c r="I99" s="29">
        <v>0.75</v>
      </c>
      <c r="J99" s="30">
        <f t="shared" ref="J99:J105" si="24">(((I99-H99)+(G99-F99))*24)</f>
        <v>9.9999999999999982</v>
      </c>
      <c r="K99" s="30">
        <f t="shared" ref="K99:K101" si="25">J99-8</f>
        <v>1.9999999999999982</v>
      </c>
      <c r="L99" s="31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3.25" x14ac:dyDescent="0.35">
      <c r="A100" s="149"/>
      <c r="B100" s="146"/>
      <c r="C100" s="146"/>
      <c r="D100" s="27">
        <v>46094</v>
      </c>
      <c r="E100" s="28" t="s">
        <v>292</v>
      </c>
      <c r="F100" s="29">
        <v>0.29166666666666669</v>
      </c>
      <c r="G100" s="29">
        <v>0.54166666666666663</v>
      </c>
      <c r="H100" s="29">
        <v>0.58333333333333337</v>
      </c>
      <c r="I100" s="29">
        <v>0.79027777777777775</v>
      </c>
      <c r="J100" s="30">
        <f t="shared" si="24"/>
        <v>10.966666666666663</v>
      </c>
      <c r="K100" s="30">
        <f t="shared" si="25"/>
        <v>2.9666666666666632</v>
      </c>
      <c r="L100" s="31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3.25" x14ac:dyDescent="0.35">
      <c r="A101" s="149"/>
      <c r="B101" s="146"/>
      <c r="C101" s="146"/>
      <c r="D101" s="27">
        <v>46095</v>
      </c>
      <c r="E101" s="28" t="s">
        <v>293</v>
      </c>
      <c r="F101" s="29">
        <v>0.29166666666666669</v>
      </c>
      <c r="G101" s="29">
        <v>0.54166666666666663</v>
      </c>
      <c r="H101" s="29">
        <v>0.58333333333333337</v>
      </c>
      <c r="I101" s="29">
        <v>0.79166666666666663</v>
      </c>
      <c r="J101" s="30">
        <f t="shared" si="24"/>
        <v>10.999999999999996</v>
      </c>
      <c r="K101" s="30">
        <f t="shared" si="25"/>
        <v>2.9999999999999964</v>
      </c>
      <c r="L101" s="31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3.25" x14ac:dyDescent="0.35">
      <c r="A102" s="149"/>
      <c r="B102" s="146"/>
      <c r="C102" s="146"/>
      <c r="D102" s="27">
        <v>46096</v>
      </c>
      <c r="E102" s="28" t="s">
        <v>294</v>
      </c>
      <c r="F102" s="29"/>
      <c r="G102" s="29"/>
      <c r="H102" s="29"/>
      <c r="I102" s="29"/>
      <c r="J102" s="30">
        <f t="shared" si="24"/>
        <v>0</v>
      </c>
      <c r="K102" s="28"/>
      <c r="L102" s="31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3.25" x14ac:dyDescent="0.35">
      <c r="A103" s="149"/>
      <c r="B103" s="146"/>
      <c r="C103" s="146"/>
      <c r="D103" s="27">
        <v>46097</v>
      </c>
      <c r="E103" s="28" t="s">
        <v>295</v>
      </c>
      <c r="F103" s="29">
        <v>0.29166666666666669</v>
      </c>
      <c r="G103" s="29">
        <v>0.54166666666666663</v>
      </c>
      <c r="H103" s="29">
        <v>0.58333333333333337</v>
      </c>
      <c r="I103" s="29">
        <v>0.79166666666666663</v>
      </c>
      <c r="J103" s="30">
        <f t="shared" si="24"/>
        <v>10.999999999999996</v>
      </c>
      <c r="K103" s="30">
        <f t="shared" ref="K103:K105" si="26">J103-8</f>
        <v>2.9999999999999964</v>
      </c>
      <c r="L103" s="31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3.25" x14ac:dyDescent="0.35">
      <c r="A104" s="149"/>
      <c r="B104" s="146"/>
      <c r="C104" s="146"/>
      <c r="D104" s="27">
        <v>46098</v>
      </c>
      <c r="E104" s="28" t="s">
        <v>296</v>
      </c>
      <c r="F104" s="29">
        <v>0.29166666666666669</v>
      </c>
      <c r="G104" s="29">
        <v>0.54166666666666663</v>
      </c>
      <c r="H104" s="29">
        <v>0.58333333333333337</v>
      </c>
      <c r="I104" s="29">
        <v>0.75</v>
      </c>
      <c r="J104" s="30">
        <f t="shared" si="24"/>
        <v>9.9999999999999982</v>
      </c>
      <c r="K104" s="30">
        <f t="shared" si="26"/>
        <v>1.9999999999999982</v>
      </c>
      <c r="L104" s="31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3.25" x14ac:dyDescent="0.35">
      <c r="A105" s="149"/>
      <c r="B105" s="146"/>
      <c r="C105" s="146"/>
      <c r="D105" s="27">
        <v>46099</v>
      </c>
      <c r="E105" s="28" t="s">
        <v>297</v>
      </c>
      <c r="F105" s="29">
        <v>0.29166666666666669</v>
      </c>
      <c r="G105" s="29">
        <v>0.54166666666666663</v>
      </c>
      <c r="H105" s="29">
        <v>0.58333333333333337</v>
      </c>
      <c r="I105" s="29">
        <v>0.8125</v>
      </c>
      <c r="J105" s="30">
        <f t="shared" si="24"/>
        <v>11.499999999999998</v>
      </c>
      <c r="K105" s="32">
        <f t="shared" si="26"/>
        <v>3.4999999999999982</v>
      </c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3.25" x14ac:dyDescent="0.35">
      <c r="A106" s="149"/>
      <c r="B106" s="146"/>
      <c r="C106" s="146"/>
      <c r="D106" s="27"/>
      <c r="E106" s="28"/>
      <c r="F106" s="28"/>
      <c r="G106" s="28"/>
      <c r="H106" s="26"/>
      <c r="I106" s="34" t="s">
        <v>298</v>
      </c>
      <c r="J106" s="35">
        <v>800</v>
      </c>
      <c r="K106" s="34"/>
      <c r="L106" s="3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3.25" x14ac:dyDescent="0.35">
      <c r="A107" s="149"/>
      <c r="B107" s="146"/>
      <c r="C107" s="146"/>
      <c r="D107" s="27"/>
      <c r="E107" s="28"/>
      <c r="F107" s="28"/>
      <c r="G107" s="28"/>
      <c r="H107" s="37"/>
      <c r="I107" s="34" t="s">
        <v>299</v>
      </c>
      <c r="J107" s="35">
        <f>J106*(COUNTIF(J99:J105, "&gt;0.00"))</f>
        <v>4800</v>
      </c>
      <c r="K107" s="35">
        <f>(J106/8)*(SUM(K99:K105))</f>
        <v>1646.6666666666652</v>
      </c>
      <c r="L107" s="36">
        <f>SUM(L99:L105)</f>
        <v>0</v>
      </c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3.25" x14ac:dyDescent="0.35">
      <c r="A108" s="150"/>
      <c r="B108" s="147"/>
      <c r="C108" s="147"/>
      <c r="D108" s="38"/>
      <c r="E108" s="39"/>
      <c r="F108" s="39"/>
      <c r="G108" s="39"/>
      <c r="H108" s="40"/>
      <c r="I108" s="41" t="s">
        <v>300</v>
      </c>
      <c r="J108" s="42">
        <f>SUM(J107:K107)-L107</f>
        <v>6446.6666666666652</v>
      </c>
      <c r="K108" s="34"/>
      <c r="L108" s="3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23.25" x14ac:dyDescent="0.35">
      <c r="A109" s="43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44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46.5" x14ac:dyDescent="0.35">
      <c r="A110" s="22" t="s">
        <v>93</v>
      </c>
      <c r="B110" s="23" t="s">
        <v>94</v>
      </c>
      <c r="C110" s="23" t="s">
        <v>1</v>
      </c>
      <c r="D110" s="24" t="s">
        <v>284</v>
      </c>
      <c r="E110" s="24" t="s">
        <v>285</v>
      </c>
      <c r="F110" s="24" t="s">
        <v>286</v>
      </c>
      <c r="G110" s="24" t="s">
        <v>287</v>
      </c>
      <c r="H110" s="24" t="s">
        <v>286</v>
      </c>
      <c r="I110" s="24" t="s">
        <v>287</v>
      </c>
      <c r="J110" s="24" t="s">
        <v>288</v>
      </c>
      <c r="K110" s="24" t="s">
        <v>234</v>
      </c>
      <c r="L110" s="25" t="s">
        <v>302</v>
      </c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3.25" x14ac:dyDescent="0.35">
      <c r="A111" s="148" t="s">
        <v>59</v>
      </c>
      <c r="B111" s="145" t="s">
        <v>60</v>
      </c>
      <c r="C111" s="145" t="s">
        <v>301</v>
      </c>
      <c r="D111" s="27">
        <v>46093</v>
      </c>
      <c r="E111" s="28" t="s">
        <v>291</v>
      </c>
      <c r="F111" s="29">
        <v>0.29166666666666669</v>
      </c>
      <c r="G111" s="29">
        <v>0.54166666666666663</v>
      </c>
      <c r="H111" s="29">
        <v>0.58333333333333337</v>
      </c>
      <c r="I111" s="136">
        <v>0.75</v>
      </c>
      <c r="J111" s="30">
        <f t="shared" ref="J111:J117" si="27">(((I111-H111)+(G111-F111))*24)</f>
        <v>9.9999999999999982</v>
      </c>
      <c r="K111" s="30">
        <f t="shared" ref="K111:K113" si="28">J111-8</f>
        <v>1.9999999999999982</v>
      </c>
      <c r="L111" s="31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3.25" x14ac:dyDescent="0.35">
      <c r="A112" s="149"/>
      <c r="B112" s="146"/>
      <c r="C112" s="146"/>
      <c r="D112" s="27">
        <v>46094</v>
      </c>
      <c r="E112" s="28" t="s">
        <v>292</v>
      </c>
      <c r="F112" s="29">
        <v>0.29166666666666669</v>
      </c>
      <c r="G112" s="29">
        <v>0.54166666666666663</v>
      </c>
      <c r="H112" s="29">
        <v>0.58333333333333337</v>
      </c>
      <c r="I112" s="29">
        <v>0.79027777777777775</v>
      </c>
      <c r="J112" s="30">
        <f t="shared" si="27"/>
        <v>10.966666666666663</v>
      </c>
      <c r="K112" s="30">
        <f t="shared" si="28"/>
        <v>2.9666666666666632</v>
      </c>
      <c r="L112" s="31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3.25" x14ac:dyDescent="0.35">
      <c r="A113" s="149"/>
      <c r="B113" s="146"/>
      <c r="C113" s="146"/>
      <c r="D113" s="27">
        <v>46095</v>
      </c>
      <c r="E113" s="28" t="s">
        <v>293</v>
      </c>
      <c r="F113" s="29">
        <v>0.29166666666666669</v>
      </c>
      <c r="G113" s="29">
        <v>0.54166666666666663</v>
      </c>
      <c r="H113" s="29">
        <v>0.58333333333333337</v>
      </c>
      <c r="I113" s="29">
        <v>0.79166666666666663</v>
      </c>
      <c r="J113" s="30">
        <f t="shared" si="27"/>
        <v>10.999999999999996</v>
      </c>
      <c r="K113" s="30">
        <f t="shared" si="28"/>
        <v>2.9999999999999964</v>
      </c>
      <c r="L113" s="31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3.25" x14ac:dyDescent="0.35">
      <c r="A114" s="149"/>
      <c r="B114" s="146"/>
      <c r="C114" s="146"/>
      <c r="D114" s="27">
        <v>46096</v>
      </c>
      <c r="E114" s="28" t="s">
        <v>294</v>
      </c>
      <c r="F114" s="29"/>
      <c r="G114" s="29"/>
      <c r="H114" s="29"/>
      <c r="I114" s="29"/>
      <c r="J114" s="30">
        <f t="shared" si="27"/>
        <v>0</v>
      </c>
      <c r="K114" s="28"/>
      <c r="L114" s="31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3.25" x14ac:dyDescent="0.35">
      <c r="A115" s="149"/>
      <c r="B115" s="146"/>
      <c r="C115" s="146"/>
      <c r="D115" s="27">
        <v>46097</v>
      </c>
      <c r="E115" s="28" t="s">
        <v>295</v>
      </c>
      <c r="F115" s="29">
        <v>0.29166666666666669</v>
      </c>
      <c r="G115" s="29">
        <v>0.54166666666666663</v>
      </c>
      <c r="H115" s="29">
        <v>0.58333333333333337</v>
      </c>
      <c r="I115" s="29">
        <v>0.79166666666666663</v>
      </c>
      <c r="J115" s="30">
        <f t="shared" si="27"/>
        <v>10.999999999999996</v>
      </c>
      <c r="K115" s="30">
        <f t="shared" ref="K115:K117" si="29">J115-8</f>
        <v>2.9999999999999964</v>
      </c>
      <c r="L115" s="31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3.25" x14ac:dyDescent="0.35">
      <c r="A116" s="149"/>
      <c r="B116" s="146"/>
      <c r="C116" s="146"/>
      <c r="D116" s="27">
        <v>46098</v>
      </c>
      <c r="E116" s="28" t="s">
        <v>296</v>
      </c>
      <c r="F116" s="29">
        <v>0.29166666666666669</v>
      </c>
      <c r="G116" s="29">
        <v>0.54166666666666663</v>
      </c>
      <c r="H116" s="29">
        <v>0.58333333333333337</v>
      </c>
      <c r="I116" s="29">
        <v>0.75</v>
      </c>
      <c r="J116" s="30">
        <f t="shared" si="27"/>
        <v>9.9999999999999982</v>
      </c>
      <c r="K116" s="30">
        <f t="shared" si="29"/>
        <v>1.9999999999999982</v>
      </c>
      <c r="L116" s="31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3.25" x14ac:dyDescent="0.35">
      <c r="A117" s="149"/>
      <c r="B117" s="146"/>
      <c r="C117" s="146"/>
      <c r="D117" s="27">
        <v>46099</v>
      </c>
      <c r="E117" s="28" t="s">
        <v>297</v>
      </c>
      <c r="F117" s="29">
        <v>0.29166666666666669</v>
      </c>
      <c r="G117" s="29">
        <v>0.54166666666666663</v>
      </c>
      <c r="H117" s="29">
        <v>0.58333333333333337</v>
      </c>
      <c r="I117" s="29">
        <v>0.8125</v>
      </c>
      <c r="J117" s="30">
        <f t="shared" si="27"/>
        <v>11.499999999999998</v>
      </c>
      <c r="K117" s="32">
        <f t="shared" si="29"/>
        <v>3.4999999999999982</v>
      </c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3.25" x14ac:dyDescent="0.35">
      <c r="A118" s="149"/>
      <c r="B118" s="146"/>
      <c r="C118" s="146"/>
      <c r="D118" s="27"/>
      <c r="E118" s="28"/>
      <c r="F118" s="29"/>
      <c r="G118" s="28"/>
      <c r="H118" s="26"/>
      <c r="I118" s="34" t="s">
        <v>298</v>
      </c>
      <c r="J118" s="35">
        <v>1000</v>
      </c>
      <c r="K118" s="34"/>
      <c r="L118" s="3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3.25" x14ac:dyDescent="0.35">
      <c r="A119" s="149"/>
      <c r="B119" s="146"/>
      <c r="C119" s="146"/>
      <c r="D119" s="27"/>
      <c r="E119" s="28"/>
      <c r="F119" s="28"/>
      <c r="G119" s="28"/>
      <c r="H119" s="37"/>
      <c r="I119" s="34" t="s">
        <v>299</v>
      </c>
      <c r="J119" s="35">
        <f>J118*(COUNTIF(J111:J117, "&gt;0.00"))</f>
        <v>6000</v>
      </c>
      <c r="K119" s="35">
        <f>(J118/8)*(SUM(K111:K117))</f>
        <v>2058.3333333333312</v>
      </c>
      <c r="L119" s="36">
        <f>SUM(L111:L117)</f>
        <v>0</v>
      </c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3.25" x14ac:dyDescent="0.35">
      <c r="A120" s="150"/>
      <c r="B120" s="147"/>
      <c r="C120" s="147"/>
      <c r="D120" s="38"/>
      <c r="E120" s="39"/>
      <c r="F120" s="39"/>
      <c r="G120" s="39"/>
      <c r="H120" s="40"/>
      <c r="I120" s="41" t="s">
        <v>300</v>
      </c>
      <c r="J120" s="42">
        <f>SUM(J119:K119)-L119</f>
        <v>8058.3333333333312</v>
      </c>
      <c r="K120" s="34"/>
      <c r="L120" s="3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23.25" x14ac:dyDescent="0.35">
      <c r="A121" s="66"/>
      <c r="B121" s="67"/>
      <c r="C121" s="67"/>
      <c r="D121" s="68"/>
      <c r="E121" s="68"/>
      <c r="F121" s="68"/>
      <c r="G121" s="68"/>
      <c r="H121" s="68"/>
      <c r="I121" s="68"/>
      <c r="J121" s="68"/>
      <c r="K121" s="68"/>
      <c r="L121" s="69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46.5" x14ac:dyDescent="0.35">
      <c r="A122" s="22" t="s">
        <v>93</v>
      </c>
      <c r="B122" s="23" t="s">
        <v>94</v>
      </c>
      <c r="C122" s="23" t="s">
        <v>1</v>
      </c>
      <c r="D122" s="24" t="s">
        <v>284</v>
      </c>
      <c r="E122" s="24" t="s">
        <v>285</v>
      </c>
      <c r="F122" s="24" t="s">
        <v>286</v>
      </c>
      <c r="G122" s="24" t="s">
        <v>287</v>
      </c>
      <c r="H122" s="24" t="s">
        <v>286</v>
      </c>
      <c r="I122" s="24" t="s">
        <v>287</v>
      </c>
      <c r="J122" s="24" t="s">
        <v>288</v>
      </c>
      <c r="K122" s="24" t="s">
        <v>234</v>
      </c>
      <c r="L122" s="25" t="s">
        <v>302</v>
      </c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3.25" x14ac:dyDescent="0.35">
      <c r="A123" s="148" t="s">
        <v>61</v>
      </c>
      <c r="B123" s="145" t="s">
        <v>62</v>
      </c>
      <c r="C123" s="145" t="s">
        <v>301</v>
      </c>
      <c r="D123" s="27">
        <v>46093</v>
      </c>
      <c r="E123" s="28" t="s">
        <v>291</v>
      </c>
      <c r="F123" s="29">
        <v>0.29166666666666669</v>
      </c>
      <c r="G123" s="29">
        <v>0.54166666666666663</v>
      </c>
      <c r="H123" s="29">
        <v>0.58333333333333337</v>
      </c>
      <c r="I123" s="136">
        <v>0.75</v>
      </c>
      <c r="J123" s="30">
        <f t="shared" ref="J123:J129" si="30">(((I123-H123)+(G123-F123))*24)</f>
        <v>9.9999999999999982</v>
      </c>
      <c r="K123" s="30">
        <f t="shared" ref="K123:K125" si="31">J123-8</f>
        <v>1.9999999999999982</v>
      </c>
      <c r="L123" s="31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3.25" x14ac:dyDescent="0.35">
      <c r="A124" s="149"/>
      <c r="B124" s="146"/>
      <c r="C124" s="146"/>
      <c r="D124" s="27">
        <v>46094</v>
      </c>
      <c r="E124" s="28" t="s">
        <v>292</v>
      </c>
      <c r="F124" s="29">
        <v>0.29166666666666669</v>
      </c>
      <c r="G124" s="29">
        <v>0.54166666666666663</v>
      </c>
      <c r="H124" s="29">
        <v>0.58333333333333337</v>
      </c>
      <c r="I124" s="29">
        <v>0.79027777777777775</v>
      </c>
      <c r="J124" s="30">
        <f t="shared" si="30"/>
        <v>10.966666666666663</v>
      </c>
      <c r="K124" s="30">
        <f t="shared" si="31"/>
        <v>2.9666666666666632</v>
      </c>
      <c r="L124" s="31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3.25" x14ac:dyDescent="0.35">
      <c r="A125" s="149"/>
      <c r="B125" s="146"/>
      <c r="C125" s="146"/>
      <c r="D125" s="27">
        <v>46095</v>
      </c>
      <c r="E125" s="28" t="s">
        <v>293</v>
      </c>
      <c r="F125" s="29">
        <v>0.29166666666666669</v>
      </c>
      <c r="G125" s="29">
        <v>0.54166666666666663</v>
      </c>
      <c r="H125" s="29">
        <v>0.58333333333333337</v>
      </c>
      <c r="I125" s="29">
        <v>0.79166666666666663</v>
      </c>
      <c r="J125" s="30">
        <f t="shared" si="30"/>
        <v>10.999999999999996</v>
      </c>
      <c r="K125" s="30">
        <f t="shared" si="31"/>
        <v>2.9999999999999964</v>
      </c>
      <c r="L125" s="31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3.25" x14ac:dyDescent="0.35">
      <c r="A126" s="149"/>
      <c r="B126" s="146"/>
      <c r="C126" s="146"/>
      <c r="D126" s="27">
        <v>46096</v>
      </c>
      <c r="E126" s="28" t="s">
        <v>294</v>
      </c>
      <c r="F126" s="29"/>
      <c r="G126" s="29"/>
      <c r="H126" s="29"/>
      <c r="I126" s="29"/>
      <c r="J126" s="30">
        <f t="shared" si="30"/>
        <v>0</v>
      </c>
      <c r="K126" s="28"/>
      <c r="L126" s="31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3.25" x14ac:dyDescent="0.35">
      <c r="A127" s="149"/>
      <c r="B127" s="146"/>
      <c r="C127" s="146"/>
      <c r="D127" s="27">
        <v>46097</v>
      </c>
      <c r="E127" s="28" t="s">
        <v>295</v>
      </c>
      <c r="F127" s="29">
        <v>0.29166666666666669</v>
      </c>
      <c r="G127" s="29">
        <v>0.54166666666666663</v>
      </c>
      <c r="H127" s="29">
        <v>0.58333333333333337</v>
      </c>
      <c r="I127" s="29">
        <v>0.79166666666666663</v>
      </c>
      <c r="J127" s="30">
        <f t="shared" si="30"/>
        <v>10.999999999999996</v>
      </c>
      <c r="K127" s="30">
        <f t="shared" ref="K127:K129" si="32">J127-8</f>
        <v>2.9999999999999964</v>
      </c>
      <c r="L127" s="31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3.25" x14ac:dyDescent="0.35">
      <c r="A128" s="149"/>
      <c r="B128" s="146"/>
      <c r="C128" s="146"/>
      <c r="D128" s="27">
        <v>46098</v>
      </c>
      <c r="E128" s="28" t="s">
        <v>296</v>
      </c>
      <c r="F128" s="29">
        <v>0.29166666666666669</v>
      </c>
      <c r="G128" s="29">
        <v>0.54166666666666663</v>
      </c>
      <c r="H128" s="29">
        <v>0.58333333333333337</v>
      </c>
      <c r="I128" s="29">
        <v>0.75</v>
      </c>
      <c r="J128" s="30">
        <f t="shared" si="30"/>
        <v>9.9999999999999982</v>
      </c>
      <c r="K128" s="30">
        <f t="shared" si="32"/>
        <v>1.9999999999999982</v>
      </c>
      <c r="L128" s="31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3.25" x14ac:dyDescent="0.35">
      <c r="A129" s="149"/>
      <c r="B129" s="146"/>
      <c r="C129" s="146"/>
      <c r="D129" s="27">
        <v>46099</v>
      </c>
      <c r="E129" s="28" t="s">
        <v>297</v>
      </c>
      <c r="F129" s="29">
        <v>0.29166666666666669</v>
      </c>
      <c r="G129" s="29">
        <v>0.54166666666666663</v>
      </c>
      <c r="H129" s="29">
        <v>0.58333333333333337</v>
      </c>
      <c r="I129" s="29">
        <v>0.8125</v>
      </c>
      <c r="J129" s="30">
        <f t="shared" si="30"/>
        <v>11.499999999999998</v>
      </c>
      <c r="K129" s="32">
        <f t="shared" si="32"/>
        <v>3.4999999999999982</v>
      </c>
      <c r="L129" s="33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3.25" x14ac:dyDescent="0.35">
      <c r="A130" s="149"/>
      <c r="B130" s="146"/>
      <c r="C130" s="146"/>
      <c r="D130" s="27"/>
      <c r="E130" s="28"/>
      <c r="F130" s="29"/>
      <c r="G130" s="28"/>
      <c r="H130" s="26"/>
      <c r="I130" s="34" t="s">
        <v>298</v>
      </c>
      <c r="J130" s="35">
        <v>1000</v>
      </c>
      <c r="K130" s="34"/>
      <c r="L130" s="3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3.25" x14ac:dyDescent="0.35">
      <c r="A131" s="149"/>
      <c r="B131" s="146"/>
      <c r="C131" s="146"/>
      <c r="D131" s="27"/>
      <c r="E131" s="28"/>
      <c r="F131" s="28"/>
      <c r="G131" s="28"/>
      <c r="H131" s="37"/>
      <c r="I131" s="34" t="s">
        <v>299</v>
      </c>
      <c r="J131" s="35">
        <f>J130*(COUNTIF(J123:J129, "&gt;0.00"))</f>
        <v>6000</v>
      </c>
      <c r="K131" s="35">
        <f>(J130/8)*(SUM(K123:K129))</f>
        <v>2058.3333333333312</v>
      </c>
      <c r="L131" s="36">
        <f>SUM(L123:L129)</f>
        <v>0</v>
      </c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3.25" x14ac:dyDescent="0.35">
      <c r="A132" s="150"/>
      <c r="B132" s="147"/>
      <c r="C132" s="147"/>
      <c r="D132" s="38"/>
      <c r="E132" s="39"/>
      <c r="F132" s="39"/>
      <c r="G132" s="39"/>
      <c r="H132" s="40"/>
      <c r="I132" s="41" t="s">
        <v>300</v>
      </c>
      <c r="J132" s="42">
        <f>SUM(J131:K131)-L131</f>
        <v>8058.3333333333312</v>
      </c>
      <c r="K132" s="34"/>
      <c r="L132" s="3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23.25" x14ac:dyDescent="0.35">
      <c r="A133" s="43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44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46.5" x14ac:dyDescent="0.35">
      <c r="A134" s="22" t="s">
        <v>93</v>
      </c>
      <c r="B134" s="23" t="s">
        <v>94</v>
      </c>
      <c r="C134" s="23" t="s">
        <v>1</v>
      </c>
      <c r="D134" s="24" t="s">
        <v>284</v>
      </c>
      <c r="E134" s="24" t="s">
        <v>285</v>
      </c>
      <c r="F134" s="24" t="s">
        <v>286</v>
      </c>
      <c r="G134" s="24" t="s">
        <v>287</v>
      </c>
      <c r="H134" s="24" t="s">
        <v>286</v>
      </c>
      <c r="I134" s="24" t="s">
        <v>287</v>
      </c>
      <c r="J134" s="24" t="s">
        <v>288</v>
      </c>
      <c r="K134" s="24" t="s">
        <v>234</v>
      </c>
      <c r="L134" s="25" t="s">
        <v>302</v>
      </c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3.25" x14ac:dyDescent="0.35">
      <c r="A135" s="148" t="s">
        <v>64</v>
      </c>
      <c r="B135" s="145" t="s">
        <v>112</v>
      </c>
      <c r="C135" s="145" t="s">
        <v>301</v>
      </c>
      <c r="D135" s="27">
        <v>46093</v>
      </c>
      <c r="E135" s="28" t="s">
        <v>291</v>
      </c>
      <c r="F135" s="29">
        <v>0.29166666666666669</v>
      </c>
      <c r="G135" s="29">
        <v>0.54166666666666663</v>
      </c>
      <c r="H135" s="29">
        <v>0.58333333333333337</v>
      </c>
      <c r="I135" s="29">
        <v>0.75</v>
      </c>
      <c r="J135" s="30">
        <f t="shared" ref="J135:J141" si="33">(((I135-H135)+(G135-F135))*24)</f>
        <v>9.9999999999999982</v>
      </c>
      <c r="K135" s="30">
        <f t="shared" ref="K135:K137" si="34">J135-8</f>
        <v>1.9999999999999982</v>
      </c>
      <c r="L135" s="31">
        <v>800</v>
      </c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3.25" x14ac:dyDescent="0.35">
      <c r="A136" s="149"/>
      <c r="B136" s="146"/>
      <c r="C136" s="146"/>
      <c r="D136" s="27">
        <v>46094</v>
      </c>
      <c r="E136" s="28" t="s">
        <v>292</v>
      </c>
      <c r="F136" s="29">
        <v>0.29166666666666669</v>
      </c>
      <c r="G136" s="29">
        <v>0.54166666666666663</v>
      </c>
      <c r="H136" s="29">
        <v>0.58333333333333337</v>
      </c>
      <c r="I136" s="29">
        <v>0.79027777777777775</v>
      </c>
      <c r="J136" s="30">
        <f t="shared" si="33"/>
        <v>10.966666666666663</v>
      </c>
      <c r="K136" s="30">
        <f t="shared" si="34"/>
        <v>2.9666666666666632</v>
      </c>
      <c r="L136" s="31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3.25" x14ac:dyDescent="0.35">
      <c r="A137" s="149"/>
      <c r="B137" s="146"/>
      <c r="C137" s="146"/>
      <c r="D137" s="27">
        <v>46095</v>
      </c>
      <c r="E137" s="28" t="s">
        <v>293</v>
      </c>
      <c r="F137" s="29">
        <v>0.29166666666666669</v>
      </c>
      <c r="G137" s="29">
        <v>0.54166666666666663</v>
      </c>
      <c r="H137" s="29">
        <v>0.58333333333333337</v>
      </c>
      <c r="I137" s="29">
        <v>0.79166666666666663</v>
      </c>
      <c r="J137" s="30">
        <f t="shared" si="33"/>
        <v>10.999999999999996</v>
      </c>
      <c r="K137" s="30">
        <f t="shared" si="34"/>
        <v>2.9999999999999964</v>
      </c>
      <c r="L137" s="31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3.25" x14ac:dyDescent="0.35">
      <c r="A138" s="149"/>
      <c r="B138" s="146"/>
      <c r="C138" s="146"/>
      <c r="D138" s="27">
        <v>46096</v>
      </c>
      <c r="E138" s="28" t="s">
        <v>294</v>
      </c>
      <c r="F138" s="29"/>
      <c r="G138" s="29"/>
      <c r="H138" s="29"/>
      <c r="I138" s="29"/>
      <c r="J138" s="30">
        <f t="shared" si="33"/>
        <v>0</v>
      </c>
      <c r="K138" s="28"/>
      <c r="L138" s="31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3.25" x14ac:dyDescent="0.35">
      <c r="A139" s="149"/>
      <c r="B139" s="146"/>
      <c r="C139" s="146"/>
      <c r="D139" s="27">
        <v>46097</v>
      </c>
      <c r="E139" s="28" t="s">
        <v>295</v>
      </c>
      <c r="F139" s="29">
        <v>0.29166666666666669</v>
      </c>
      <c r="G139" s="29">
        <v>0.54166666666666663</v>
      </c>
      <c r="H139" s="29">
        <v>0.58333333333333337</v>
      </c>
      <c r="I139" s="29">
        <v>0.79166666666666663</v>
      </c>
      <c r="J139" s="30">
        <f t="shared" si="33"/>
        <v>10.999999999999996</v>
      </c>
      <c r="K139" s="28"/>
      <c r="L139" s="31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3.25" x14ac:dyDescent="0.35">
      <c r="A140" s="149"/>
      <c r="B140" s="146"/>
      <c r="C140" s="146"/>
      <c r="D140" s="27">
        <v>46098</v>
      </c>
      <c r="E140" s="28" t="s">
        <v>296</v>
      </c>
      <c r="F140" s="29">
        <v>0.29166666666666669</v>
      </c>
      <c r="G140" s="29">
        <v>0.54166666666666663</v>
      </c>
      <c r="H140" s="29">
        <v>0.58333333333333337</v>
      </c>
      <c r="I140" s="29">
        <v>0.71875</v>
      </c>
      <c r="J140" s="30">
        <f t="shared" si="33"/>
        <v>9.2499999999999982</v>
      </c>
      <c r="K140" s="30">
        <f>J140-8</f>
        <v>1.2499999999999982</v>
      </c>
      <c r="L140" s="31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3.25" x14ac:dyDescent="0.35">
      <c r="A141" s="149"/>
      <c r="B141" s="146"/>
      <c r="C141" s="146"/>
      <c r="D141" s="27">
        <v>46099</v>
      </c>
      <c r="E141" s="28" t="s">
        <v>297</v>
      </c>
      <c r="F141" s="29"/>
      <c r="G141" s="29"/>
      <c r="H141" s="29"/>
      <c r="I141" s="29"/>
      <c r="J141" s="30">
        <f t="shared" si="33"/>
        <v>0</v>
      </c>
      <c r="K141" s="83"/>
      <c r="L141" s="33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3.25" x14ac:dyDescent="0.35">
      <c r="A142" s="149"/>
      <c r="B142" s="146"/>
      <c r="C142" s="146"/>
      <c r="D142" s="27"/>
      <c r="E142" s="28"/>
      <c r="F142" s="28"/>
      <c r="G142" s="28"/>
      <c r="H142" s="26"/>
      <c r="I142" s="34" t="s">
        <v>298</v>
      </c>
      <c r="J142" s="35">
        <v>800</v>
      </c>
      <c r="K142" s="34"/>
      <c r="L142" s="3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3.25" x14ac:dyDescent="0.35">
      <c r="A143" s="149"/>
      <c r="B143" s="146"/>
      <c r="C143" s="146"/>
      <c r="D143" s="27"/>
      <c r="E143" s="28"/>
      <c r="F143" s="28"/>
      <c r="G143" s="28"/>
      <c r="H143" s="37"/>
      <c r="I143" s="34" t="s">
        <v>299</v>
      </c>
      <c r="J143" s="35">
        <f>J142*(COUNTIF(J135:J141, "&gt;0.00"))</f>
        <v>4000</v>
      </c>
      <c r="K143" s="35">
        <f>(J142/8)*(SUM(K135:K141))</f>
        <v>921.66666666666561</v>
      </c>
      <c r="L143" s="36">
        <f>SUM(L135:L141)</f>
        <v>800</v>
      </c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3.25" x14ac:dyDescent="0.35">
      <c r="A144" s="150"/>
      <c r="B144" s="147"/>
      <c r="C144" s="147"/>
      <c r="D144" s="38"/>
      <c r="E144" s="39"/>
      <c r="F144" s="39"/>
      <c r="G144" s="39"/>
      <c r="H144" s="40"/>
      <c r="I144" s="41" t="s">
        <v>300</v>
      </c>
      <c r="J144" s="42">
        <f>SUM(J143:K143)-L143</f>
        <v>4121.6666666666661</v>
      </c>
      <c r="K144" s="34"/>
      <c r="L144" s="3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23.25" x14ac:dyDescent="0.35">
      <c r="A145" s="43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44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46.5" x14ac:dyDescent="0.35">
      <c r="A146" s="22" t="s">
        <v>303</v>
      </c>
      <c r="B146" s="23" t="s">
        <v>94</v>
      </c>
      <c r="C146" s="23" t="s">
        <v>1</v>
      </c>
      <c r="D146" s="24" t="s">
        <v>284</v>
      </c>
      <c r="E146" s="24" t="s">
        <v>285</v>
      </c>
      <c r="F146" s="24" t="s">
        <v>286</v>
      </c>
      <c r="G146" s="24" t="s">
        <v>287</v>
      </c>
      <c r="H146" s="24" t="s">
        <v>286</v>
      </c>
      <c r="I146" s="24" t="s">
        <v>287</v>
      </c>
      <c r="J146" s="24" t="s">
        <v>288</v>
      </c>
      <c r="K146" s="24" t="s">
        <v>234</v>
      </c>
      <c r="L146" s="25" t="s">
        <v>302</v>
      </c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3.25" x14ac:dyDescent="0.35">
      <c r="A147" s="148" t="s">
        <v>196</v>
      </c>
      <c r="B147" s="145" t="s">
        <v>71</v>
      </c>
      <c r="C147" s="145" t="s">
        <v>16</v>
      </c>
      <c r="D147" s="27">
        <v>46093</v>
      </c>
      <c r="E147" s="28" t="s">
        <v>291</v>
      </c>
      <c r="F147" s="29">
        <v>0.29166666666666669</v>
      </c>
      <c r="G147" s="29">
        <v>0.54166666666666663</v>
      </c>
      <c r="H147" s="29">
        <v>0.58333333333333337</v>
      </c>
      <c r="I147" s="29">
        <v>0.75</v>
      </c>
      <c r="J147" s="30">
        <f t="shared" ref="J147:J153" si="35">(((I147-H147)+(G147-F147))*24)</f>
        <v>9.9999999999999982</v>
      </c>
      <c r="K147" s="30">
        <f t="shared" ref="K147:K149" si="36">J147-8</f>
        <v>1.9999999999999982</v>
      </c>
      <c r="L147" s="31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3.25" x14ac:dyDescent="0.35">
      <c r="A148" s="149"/>
      <c r="B148" s="146"/>
      <c r="C148" s="146"/>
      <c r="D148" s="27">
        <v>46094</v>
      </c>
      <c r="E148" s="28" t="s">
        <v>292</v>
      </c>
      <c r="F148" s="29">
        <v>0.29166666666666669</v>
      </c>
      <c r="G148" s="29">
        <v>0.54166666666666663</v>
      </c>
      <c r="H148" s="29">
        <v>0.58333333333333337</v>
      </c>
      <c r="I148" s="29">
        <v>0.79027777777777775</v>
      </c>
      <c r="J148" s="30">
        <f t="shared" si="35"/>
        <v>10.966666666666663</v>
      </c>
      <c r="K148" s="30">
        <f t="shared" si="36"/>
        <v>2.9666666666666632</v>
      </c>
      <c r="L148" s="31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3.25" x14ac:dyDescent="0.35">
      <c r="A149" s="149"/>
      <c r="B149" s="146"/>
      <c r="C149" s="146"/>
      <c r="D149" s="27">
        <v>46095</v>
      </c>
      <c r="E149" s="28" t="s">
        <v>293</v>
      </c>
      <c r="F149" s="29">
        <v>0.29166666666666669</v>
      </c>
      <c r="G149" s="29">
        <v>0.54166666666666663</v>
      </c>
      <c r="H149" s="29">
        <v>0.58333333333333337</v>
      </c>
      <c r="I149" s="29">
        <v>0.79166666666666663</v>
      </c>
      <c r="J149" s="30">
        <f t="shared" si="35"/>
        <v>10.999999999999996</v>
      </c>
      <c r="K149" s="30">
        <f t="shared" si="36"/>
        <v>2.9999999999999964</v>
      </c>
      <c r="L149" s="31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3.25" x14ac:dyDescent="0.35">
      <c r="A150" s="149"/>
      <c r="B150" s="146"/>
      <c r="C150" s="146"/>
      <c r="D150" s="27">
        <v>46096</v>
      </c>
      <c r="E150" s="28" t="s">
        <v>294</v>
      </c>
      <c r="F150" s="29"/>
      <c r="G150" s="29"/>
      <c r="H150" s="29"/>
      <c r="I150" s="29"/>
      <c r="J150" s="30">
        <f t="shared" si="35"/>
        <v>0</v>
      </c>
      <c r="K150" s="28"/>
      <c r="L150" s="31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3.25" x14ac:dyDescent="0.35">
      <c r="A151" s="149"/>
      <c r="B151" s="146"/>
      <c r="C151" s="146"/>
      <c r="D151" s="27">
        <v>46097</v>
      </c>
      <c r="E151" s="28" t="s">
        <v>295</v>
      </c>
      <c r="F151" s="29">
        <v>0.29166666666666669</v>
      </c>
      <c r="G151" s="29">
        <v>0.54166666666666663</v>
      </c>
      <c r="H151" s="29">
        <v>0.58333333333333337</v>
      </c>
      <c r="I151" s="29">
        <v>0.79166666666666663</v>
      </c>
      <c r="J151" s="30">
        <f t="shared" si="35"/>
        <v>10.999999999999996</v>
      </c>
      <c r="K151" s="30">
        <f t="shared" ref="K151:K153" si="37">J151-8</f>
        <v>2.9999999999999964</v>
      </c>
      <c r="L151" s="31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3.25" x14ac:dyDescent="0.35">
      <c r="A152" s="149"/>
      <c r="B152" s="146"/>
      <c r="C152" s="146"/>
      <c r="D152" s="27">
        <v>46098</v>
      </c>
      <c r="E152" s="28" t="s">
        <v>296</v>
      </c>
      <c r="F152" s="29">
        <v>0.29166666666666669</v>
      </c>
      <c r="G152" s="29">
        <v>0.54166666666666663</v>
      </c>
      <c r="H152" s="29">
        <v>0.58333333333333337</v>
      </c>
      <c r="I152" s="29">
        <v>0.75</v>
      </c>
      <c r="J152" s="30">
        <f t="shared" si="35"/>
        <v>9.9999999999999982</v>
      </c>
      <c r="K152" s="30">
        <f t="shared" si="37"/>
        <v>1.9999999999999982</v>
      </c>
      <c r="L152" s="31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3.25" x14ac:dyDescent="0.35">
      <c r="A153" s="149"/>
      <c r="B153" s="146"/>
      <c r="C153" s="146"/>
      <c r="D153" s="27">
        <v>46099</v>
      </c>
      <c r="E153" s="28" t="s">
        <v>297</v>
      </c>
      <c r="F153" s="29">
        <v>0.29166666666666669</v>
      </c>
      <c r="G153" s="29">
        <v>0.54166666666666663</v>
      </c>
      <c r="H153" s="29">
        <v>0.58333333333333337</v>
      </c>
      <c r="I153" s="29">
        <v>0.8125</v>
      </c>
      <c r="J153" s="30">
        <f t="shared" si="35"/>
        <v>11.499999999999998</v>
      </c>
      <c r="K153" s="32">
        <f t="shared" si="37"/>
        <v>3.4999999999999982</v>
      </c>
      <c r="L153" s="33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3.25" x14ac:dyDescent="0.35">
      <c r="A154" s="149"/>
      <c r="B154" s="146"/>
      <c r="C154" s="146"/>
      <c r="D154" s="27"/>
      <c r="E154" s="28"/>
      <c r="F154" s="28"/>
      <c r="G154" s="28"/>
      <c r="H154" s="26"/>
      <c r="I154" s="34" t="s">
        <v>298</v>
      </c>
      <c r="J154" s="35">
        <v>1000</v>
      </c>
      <c r="K154" s="34"/>
      <c r="L154" s="3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3.25" x14ac:dyDescent="0.35">
      <c r="A155" s="149"/>
      <c r="B155" s="146"/>
      <c r="C155" s="146"/>
      <c r="D155" s="27"/>
      <c r="E155" s="28"/>
      <c r="F155" s="28"/>
      <c r="G155" s="28"/>
      <c r="H155" s="37"/>
      <c r="I155" s="34" t="s">
        <v>299</v>
      </c>
      <c r="J155" s="35">
        <f>J154*(COUNTIF(J147:J153, "&gt;0.00"))</f>
        <v>6000</v>
      </c>
      <c r="K155" s="35">
        <f>(J154/8)*(SUM(K147:K153))</f>
        <v>2058.3333333333312</v>
      </c>
      <c r="L155" s="36">
        <f>SUM(L147:L153)</f>
        <v>0</v>
      </c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3.25" x14ac:dyDescent="0.35">
      <c r="A156" s="150"/>
      <c r="B156" s="147"/>
      <c r="C156" s="147"/>
      <c r="D156" s="38"/>
      <c r="E156" s="39"/>
      <c r="F156" s="39"/>
      <c r="G156" s="39"/>
      <c r="H156" s="40"/>
      <c r="I156" s="41" t="s">
        <v>300</v>
      </c>
      <c r="J156" s="42">
        <f>SUM(J155:K155)-L155</f>
        <v>8058.3333333333312</v>
      </c>
      <c r="K156" s="34"/>
      <c r="L156" s="3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3.25" x14ac:dyDescent="0.35">
      <c r="A157" s="43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44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46.5" x14ac:dyDescent="0.35">
      <c r="A158" s="22" t="s">
        <v>93</v>
      </c>
      <c r="B158" s="23" t="s">
        <v>94</v>
      </c>
      <c r="C158" s="23" t="s">
        <v>1</v>
      </c>
      <c r="D158" s="24" t="s">
        <v>284</v>
      </c>
      <c r="E158" s="24" t="s">
        <v>285</v>
      </c>
      <c r="F158" s="24" t="s">
        <v>286</v>
      </c>
      <c r="G158" s="24" t="s">
        <v>287</v>
      </c>
      <c r="H158" s="24" t="s">
        <v>286</v>
      </c>
      <c r="I158" s="24" t="s">
        <v>287</v>
      </c>
      <c r="J158" s="24" t="s">
        <v>288</v>
      </c>
      <c r="K158" s="24" t="s">
        <v>234</v>
      </c>
      <c r="L158" s="25" t="s">
        <v>302</v>
      </c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3.25" x14ac:dyDescent="0.35">
      <c r="A159" s="148" t="s">
        <v>198</v>
      </c>
      <c r="B159" s="145" t="s">
        <v>74</v>
      </c>
      <c r="C159" s="145" t="s">
        <v>16</v>
      </c>
      <c r="D159" s="27">
        <v>46093</v>
      </c>
      <c r="E159" s="28" t="s">
        <v>291</v>
      </c>
      <c r="F159" s="29">
        <v>0.29166666666666669</v>
      </c>
      <c r="G159" s="29">
        <v>0.54166666666666663</v>
      </c>
      <c r="H159" s="29">
        <v>0.58333333333333337</v>
      </c>
      <c r="I159" s="29">
        <v>0.75</v>
      </c>
      <c r="J159" s="30">
        <f t="shared" ref="J159:J165" si="38">(((I159-H159)+(G159-F159))*24)</f>
        <v>9.9999999999999982</v>
      </c>
      <c r="K159" s="30">
        <f t="shared" ref="K159:K161" si="39">J159-8</f>
        <v>1.9999999999999982</v>
      </c>
      <c r="L159" s="31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3.25" x14ac:dyDescent="0.35">
      <c r="A160" s="149"/>
      <c r="B160" s="146"/>
      <c r="C160" s="146"/>
      <c r="D160" s="27">
        <v>46094</v>
      </c>
      <c r="E160" s="28" t="s">
        <v>292</v>
      </c>
      <c r="F160" s="29">
        <v>0.29166666666666669</v>
      </c>
      <c r="G160" s="29">
        <v>0.54166666666666663</v>
      </c>
      <c r="H160" s="29">
        <v>0.58333333333333337</v>
      </c>
      <c r="I160" s="29">
        <v>0.79027777777777775</v>
      </c>
      <c r="J160" s="30">
        <f t="shared" si="38"/>
        <v>10.966666666666663</v>
      </c>
      <c r="K160" s="30">
        <f t="shared" si="39"/>
        <v>2.9666666666666632</v>
      </c>
      <c r="L160" s="31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3.25" x14ac:dyDescent="0.35">
      <c r="A161" s="149"/>
      <c r="B161" s="146"/>
      <c r="C161" s="146"/>
      <c r="D161" s="27">
        <v>46095</v>
      </c>
      <c r="E161" s="28" t="s">
        <v>293</v>
      </c>
      <c r="F161" s="29">
        <v>0.29166666666666669</v>
      </c>
      <c r="G161" s="29">
        <v>0.54166666666666663</v>
      </c>
      <c r="H161" s="29">
        <v>0.58333333333333337</v>
      </c>
      <c r="I161" s="29">
        <v>0.79166666666666663</v>
      </c>
      <c r="J161" s="30">
        <f t="shared" si="38"/>
        <v>10.999999999999996</v>
      </c>
      <c r="K161" s="30">
        <f t="shared" si="39"/>
        <v>2.9999999999999964</v>
      </c>
      <c r="L161" s="31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3.25" x14ac:dyDescent="0.35">
      <c r="A162" s="149"/>
      <c r="B162" s="146"/>
      <c r="C162" s="146"/>
      <c r="D162" s="27">
        <v>46096</v>
      </c>
      <c r="E162" s="28" t="s">
        <v>294</v>
      </c>
      <c r="F162" s="29"/>
      <c r="G162" s="29"/>
      <c r="H162" s="29"/>
      <c r="I162" s="29"/>
      <c r="J162" s="30">
        <f t="shared" si="38"/>
        <v>0</v>
      </c>
      <c r="K162" s="28"/>
      <c r="L162" s="31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3.25" x14ac:dyDescent="0.35">
      <c r="A163" s="149"/>
      <c r="B163" s="146"/>
      <c r="C163" s="146"/>
      <c r="D163" s="27">
        <v>46097</v>
      </c>
      <c r="E163" s="28" t="s">
        <v>295</v>
      </c>
      <c r="F163" s="29">
        <v>0.29166666666666669</v>
      </c>
      <c r="G163" s="29">
        <v>0.54166666666666663</v>
      </c>
      <c r="H163" s="29">
        <v>0.58333333333333337</v>
      </c>
      <c r="I163" s="29">
        <v>0.79166666666666663</v>
      </c>
      <c r="J163" s="30">
        <f t="shared" si="38"/>
        <v>10.999999999999996</v>
      </c>
      <c r="K163" s="30">
        <f t="shared" ref="K163:K165" si="40">J163-8</f>
        <v>2.9999999999999964</v>
      </c>
      <c r="L163" s="31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3.25" x14ac:dyDescent="0.35">
      <c r="A164" s="149"/>
      <c r="B164" s="146"/>
      <c r="C164" s="146"/>
      <c r="D164" s="27">
        <v>46098</v>
      </c>
      <c r="E164" s="28" t="s">
        <v>296</v>
      </c>
      <c r="F164" s="29">
        <v>0.29166666666666669</v>
      </c>
      <c r="G164" s="29">
        <v>0.54166666666666663</v>
      </c>
      <c r="H164" s="29">
        <v>0.58333333333333337</v>
      </c>
      <c r="I164" s="29">
        <v>0.75</v>
      </c>
      <c r="J164" s="30">
        <f t="shared" si="38"/>
        <v>9.9999999999999982</v>
      </c>
      <c r="K164" s="30">
        <f t="shared" si="40"/>
        <v>1.9999999999999982</v>
      </c>
      <c r="L164" s="31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3.25" x14ac:dyDescent="0.35">
      <c r="A165" s="149"/>
      <c r="B165" s="146"/>
      <c r="C165" s="146"/>
      <c r="D165" s="27">
        <v>46099</v>
      </c>
      <c r="E165" s="28" t="s">
        <v>297</v>
      </c>
      <c r="F165" s="29">
        <v>0.29166666666666669</v>
      </c>
      <c r="G165" s="29">
        <v>0.54166666666666663</v>
      </c>
      <c r="H165" s="29">
        <v>0.58333333333333337</v>
      </c>
      <c r="I165" s="29">
        <v>0.8125</v>
      </c>
      <c r="J165" s="30">
        <f t="shared" si="38"/>
        <v>11.499999999999998</v>
      </c>
      <c r="K165" s="32">
        <f t="shared" si="40"/>
        <v>3.4999999999999982</v>
      </c>
      <c r="L165" s="33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3.25" x14ac:dyDescent="0.35">
      <c r="A166" s="149"/>
      <c r="B166" s="146"/>
      <c r="C166" s="146"/>
      <c r="D166" s="27"/>
      <c r="E166" s="28"/>
      <c r="F166" s="28"/>
      <c r="G166" s="28"/>
      <c r="H166" s="26"/>
      <c r="I166" s="34" t="s">
        <v>298</v>
      </c>
      <c r="J166" s="35">
        <v>1000</v>
      </c>
      <c r="K166" s="34"/>
      <c r="L166" s="3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3.25" x14ac:dyDescent="0.35">
      <c r="A167" s="149"/>
      <c r="B167" s="146"/>
      <c r="C167" s="146"/>
      <c r="D167" s="27"/>
      <c r="E167" s="28"/>
      <c r="F167" s="28"/>
      <c r="G167" s="28"/>
      <c r="H167" s="37"/>
      <c r="I167" s="34" t="s">
        <v>299</v>
      </c>
      <c r="J167" s="35">
        <f>J166*(COUNTIF(J159:J165, "&gt;0.00"))</f>
        <v>6000</v>
      </c>
      <c r="K167" s="35">
        <f>(J166/8)*(SUM(K159:K165))</f>
        <v>2058.3333333333312</v>
      </c>
      <c r="L167" s="36">
        <f>SUM(L159:L165)</f>
        <v>0</v>
      </c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3.25" x14ac:dyDescent="0.35">
      <c r="A168" s="150"/>
      <c r="B168" s="147"/>
      <c r="C168" s="147"/>
      <c r="D168" s="38"/>
      <c r="E168" s="39"/>
      <c r="F168" s="39"/>
      <c r="G168" s="39"/>
      <c r="H168" s="40"/>
      <c r="I168" s="41" t="s">
        <v>300</v>
      </c>
      <c r="J168" s="42">
        <f>SUM(J167:K167)-L167</f>
        <v>8058.3333333333312</v>
      </c>
      <c r="K168" s="34"/>
      <c r="L168" s="3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3.25" x14ac:dyDescent="0.35">
      <c r="A169" s="43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44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46.5" x14ac:dyDescent="0.35">
      <c r="A170" s="22" t="s">
        <v>93</v>
      </c>
      <c r="B170" s="23" t="s">
        <v>94</v>
      </c>
      <c r="C170" s="23" t="s">
        <v>1</v>
      </c>
      <c r="D170" s="24" t="s">
        <v>284</v>
      </c>
      <c r="E170" s="24" t="s">
        <v>285</v>
      </c>
      <c r="F170" s="24" t="s">
        <v>286</v>
      </c>
      <c r="G170" s="24" t="s">
        <v>287</v>
      </c>
      <c r="H170" s="24" t="s">
        <v>286</v>
      </c>
      <c r="I170" s="24" t="s">
        <v>287</v>
      </c>
      <c r="J170" s="24" t="s">
        <v>288</v>
      </c>
      <c r="K170" s="24" t="s">
        <v>234</v>
      </c>
      <c r="L170" s="25" t="s">
        <v>302</v>
      </c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3.25" x14ac:dyDescent="0.35">
      <c r="A171" s="148" t="s">
        <v>200</v>
      </c>
      <c r="B171" s="145" t="s">
        <v>86</v>
      </c>
      <c r="C171" s="145" t="s">
        <v>16</v>
      </c>
      <c r="D171" s="27">
        <v>46093</v>
      </c>
      <c r="E171" s="28" t="s">
        <v>291</v>
      </c>
      <c r="F171" s="29">
        <v>0.29166666666666669</v>
      </c>
      <c r="G171" s="29">
        <v>0.54166666666666663</v>
      </c>
      <c r="H171" s="29">
        <v>0.58333333333333337</v>
      </c>
      <c r="I171" s="29">
        <v>0.75</v>
      </c>
      <c r="J171" s="30">
        <f t="shared" ref="J171:J177" si="41">(((I171-H171)+(G171-F171))*24)</f>
        <v>9.9999999999999982</v>
      </c>
      <c r="K171" s="30">
        <f t="shared" ref="K171:K173" si="42">J171-8</f>
        <v>1.9999999999999982</v>
      </c>
      <c r="L171" s="31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3.25" x14ac:dyDescent="0.35">
      <c r="A172" s="149"/>
      <c r="B172" s="146"/>
      <c r="C172" s="146"/>
      <c r="D172" s="27">
        <v>46094</v>
      </c>
      <c r="E172" s="28" t="s">
        <v>292</v>
      </c>
      <c r="F172" s="29">
        <v>0.29166666666666669</v>
      </c>
      <c r="G172" s="29">
        <v>0.54166666666666663</v>
      </c>
      <c r="H172" s="29">
        <v>0.58333333333333337</v>
      </c>
      <c r="I172" s="29">
        <v>0.79027777777777775</v>
      </c>
      <c r="J172" s="30">
        <f t="shared" si="41"/>
        <v>10.966666666666663</v>
      </c>
      <c r="K172" s="30">
        <f t="shared" si="42"/>
        <v>2.9666666666666632</v>
      </c>
      <c r="L172" s="31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3.25" x14ac:dyDescent="0.35">
      <c r="A173" s="149"/>
      <c r="B173" s="146"/>
      <c r="C173" s="146"/>
      <c r="D173" s="27">
        <v>46095</v>
      </c>
      <c r="E173" s="28" t="s">
        <v>293</v>
      </c>
      <c r="F173" s="29">
        <v>0.29166666666666669</v>
      </c>
      <c r="G173" s="29">
        <v>0.54166666666666663</v>
      </c>
      <c r="H173" s="29">
        <v>0.58333333333333337</v>
      </c>
      <c r="I173" s="29">
        <v>0.79166666666666663</v>
      </c>
      <c r="J173" s="30">
        <f t="shared" si="41"/>
        <v>10.999999999999996</v>
      </c>
      <c r="K173" s="30">
        <f t="shared" si="42"/>
        <v>2.9999999999999964</v>
      </c>
      <c r="L173" s="31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3.25" x14ac:dyDescent="0.35">
      <c r="A174" s="149"/>
      <c r="B174" s="146"/>
      <c r="C174" s="146"/>
      <c r="D174" s="27">
        <v>46096</v>
      </c>
      <c r="E174" s="28" t="s">
        <v>294</v>
      </c>
      <c r="F174" s="29"/>
      <c r="G174" s="29"/>
      <c r="H174" s="29"/>
      <c r="I174" s="29"/>
      <c r="J174" s="30">
        <f t="shared" si="41"/>
        <v>0</v>
      </c>
      <c r="K174" s="28"/>
      <c r="L174" s="31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3.25" x14ac:dyDescent="0.35">
      <c r="A175" s="149"/>
      <c r="B175" s="146"/>
      <c r="C175" s="146"/>
      <c r="D175" s="27">
        <v>46097</v>
      </c>
      <c r="E175" s="28" t="s">
        <v>295</v>
      </c>
      <c r="F175" s="29">
        <v>0.29166666666666669</v>
      </c>
      <c r="G175" s="29">
        <v>0.54166666666666663</v>
      </c>
      <c r="H175" s="29">
        <v>0.58333333333333337</v>
      </c>
      <c r="I175" s="29">
        <v>0.79861111111111116</v>
      </c>
      <c r="J175" s="30">
        <f t="shared" si="41"/>
        <v>11.166666666666666</v>
      </c>
      <c r="K175" s="30">
        <f t="shared" ref="K175:K177" si="43">J175-8</f>
        <v>3.1666666666666661</v>
      </c>
      <c r="L175" s="31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3.25" x14ac:dyDescent="0.35">
      <c r="A176" s="149"/>
      <c r="B176" s="146"/>
      <c r="C176" s="146"/>
      <c r="D176" s="27">
        <v>46098</v>
      </c>
      <c r="E176" s="28" t="s">
        <v>296</v>
      </c>
      <c r="F176" s="29">
        <v>0.29166666666666669</v>
      </c>
      <c r="G176" s="29">
        <v>0.54166666666666663</v>
      </c>
      <c r="H176" s="29">
        <v>0.58333333333333337</v>
      </c>
      <c r="I176" s="29">
        <v>0.75</v>
      </c>
      <c r="J176" s="30">
        <f t="shared" si="41"/>
        <v>9.9999999999999982</v>
      </c>
      <c r="K176" s="30">
        <f t="shared" si="43"/>
        <v>1.9999999999999982</v>
      </c>
      <c r="L176" s="31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3.25" x14ac:dyDescent="0.35">
      <c r="A177" s="149"/>
      <c r="B177" s="146"/>
      <c r="C177" s="146"/>
      <c r="D177" s="27">
        <v>46099</v>
      </c>
      <c r="E177" s="28" t="s">
        <v>297</v>
      </c>
      <c r="F177" s="29">
        <v>0.29166666666666669</v>
      </c>
      <c r="G177" s="29">
        <v>0.54166666666666663</v>
      </c>
      <c r="H177" s="29">
        <v>0.58333333333333337</v>
      </c>
      <c r="I177" s="29">
        <v>0.8125</v>
      </c>
      <c r="J177" s="30">
        <f t="shared" si="41"/>
        <v>11.499999999999998</v>
      </c>
      <c r="K177" s="32">
        <f t="shared" si="43"/>
        <v>3.4999999999999982</v>
      </c>
      <c r="L177" s="33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3.25" x14ac:dyDescent="0.35">
      <c r="A178" s="149"/>
      <c r="B178" s="146"/>
      <c r="C178" s="146"/>
      <c r="D178" s="27"/>
      <c r="E178" s="28"/>
      <c r="F178" s="28"/>
      <c r="G178" s="28"/>
      <c r="H178" s="26"/>
      <c r="I178" s="34" t="s">
        <v>298</v>
      </c>
      <c r="J178" s="35">
        <v>1000</v>
      </c>
      <c r="K178" s="34"/>
      <c r="L178" s="3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3.25" x14ac:dyDescent="0.35">
      <c r="A179" s="149"/>
      <c r="B179" s="146"/>
      <c r="C179" s="146"/>
      <c r="D179" s="27"/>
      <c r="E179" s="28"/>
      <c r="F179" s="28"/>
      <c r="G179" s="28"/>
      <c r="H179" s="37"/>
      <c r="I179" s="34" t="s">
        <v>299</v>
      </c>
      <c r="J179" s="35">
        <f>J178*(COUNTIF(J171:J177, "&gt;0.00"))</f>
        <v>6000</v>
      </c>
      <c r="K179" s="35">
        <f>(J178/8)*(SUM(K171:K177))</f>
        <v>2079.1666666666647</v>
      </c>
      <c r="L179" s="36">
        <f>SUM(L171:L177)</f>
        <v>0</v>
      </c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3.25" x14ac:dyDescent="0.35">
      <c r="A180" s="150"/>
      <c r="B180" s="147"/>
      <c r="C180" s="147"/>
      <c r="D180" s="38"/>
      <c r="E180" s="39"/>
      <c r="F180" s="39"/>
      <c r="G180" s="39"/>
      <c r="H180" s="40"/>
      <c r="I180" s="41" t="s">
        <v>300</v>
      </c>
      <c r="J180" s="42">
        <f>SUM(J179:K179)-L179</f>
        <v>8079.1666666666642</v>
      </c>
      <c r="K180" s="34"/>
      <c r="L180" s="3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3.25" x14ac:dyDescent="0.35">
      <c r="A181" s="43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44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46.5" x14ac:dyDescent="0.35">
      <c r="A182" s="22" t="s">
        <v>93</v>
      </c>
      <c r="B182" s="23" t="s">
        <v>94</v>
      </c>
      <c r="C182" s="23" t="s">
        <v>1</v>
      </c>
      <c r="D182" s="24" t="s">
        <v>284</v>
      </c>
      <c r="E182" s="24" t="s">
        <v>285</v>
      </c>
      <c r="F182" s="24" t="s">
        <v>286</v>
      </c>
      <c r="G182" s="24" t="s">
        <v>287</v>
      </c>
      <c r="H182" s="24" t="s">
        <v>286</v>
      </c>
      <c r="I182" s="24" t="s">
        <v>287</v>
      </c>
      <c r="J182" s="24" t="s">
        <v>288</v>
      </c>
      <c r="K182" s="24" t="s">
        <v>234</v>
      </c>
      <c r="L182" s="25" t="s">
        <v>302</v>
      </c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3.25" x14ac:dyDescent="0.35">
      <c r="A183" s="148" t="s">
        <v>202</v>
      </c>
      <c r="B183" s="145" t="s">
        <v>76</v>
      </c>
      <c r="C183" s="145" t="s">
        <v>77</v>
      </c>
      <c r="D183" s="27">
        <v>46093</v>
      </c>
      <c r="E183" s="28" t="s">
        <v>291</v>
      </c>
      <c r="F183" s="29">
        <v>0.29166666666666669</v>
      </c>
      <c r="G183" s="29">
        <v>0.54166666666666663</v>
      </c>
      <c r="H183" s="29">
        <v>0.58333333333333337</v>
      </c>
      <c r="I183" s="29">
        <v>0.75</v>
      </c>
      <c r="J183" s="30">
        <f t="shared" ref="J183:J189" si="44">(((I183-H183)+(G183-F183))*24)</f>
        <v>9.9999999999999982</v>
      </c>
      <c r="K183" s="30">
        <f t="shared" ref="K183:K185" si="45">J183-8</f>
        <v>1.9999999999999982</v>
      </c>
      <c r="L183" s="31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3.25" x14ac:dyDescent="0.35">
      <c r="A184" s="149"/>
      <c r="B184" s="146"/>
      <c r="C184" s="146"/>
      <c r="D184" s="27">
        <v>46094</v>
      </c>
      <c r="E184" s="28" t="s">
        <v>292</v>
      </c>
      <c r="F184" s="29">
        <v>0.29166666666666669</v>
      </c>
      <c r="G184" s="29">
        <v>0.54166666666666663</v>
      </c>
      <c r="H184" s="29">
        <v>0.58333333333333337</v>
      </c>
      <c r="I184" s="29">
        <v>0.75</v>
      </c>
      <c r="J184" s="30">
        <f t="shared" si="44"/>
        <v>9.9999999999999982</v>
      </c>
      <c r="K184" s="30">
        <f t="shared" si="45"/>
        <v>1.9999999999999982</v>
      </c>
      <c r="L184" s="31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3.25" x14ac:dyDescent="0.35">
      <c r="A185" s="149"/>
      <c r="B185" s="146"/>
      <c r="C185" s="146"/>
      <c r="D185" s="27">
        <v>46095</v>
      </c>
      <c r="E185" s="28" t="s">
        <v>293</v>
      </c>
      <c r="F185" s="29">
        <v>0.29166666666666669</v>
      </c>
      <c r="G185" s="29">
        <v>0.54166666666666663</v>
      </c>
      <c r="H185" s="29">
        <v>0.58333333333333337</v>
      </c>
      <c r="I185" s="29">
        <v>0.77083333333333337</v>
      </c>
      <c r="J185" s="30">
        <f t="shared" si="44"/>
        <v>10.499999999999998</v>
      </c>
      <c r="K185" s="30">
        <f t="shared" si="45"/>
        <v>2.4999999999999982</v>
      </c>
      <c r="L185" s="31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3.25" x14ac:dyDescent="0.35">
      <c r="A186" s="149"/>
      <c r="B186" s="146"/>
      <c r="C186" s="146"/>
      <c r="D186" s="27">
        <v>46096</v>
      </c>
      <c r="E186" s="28" t="s">
        <v>294</v>
      </c>
      <c r="F186" s="29"/>
      <c r="G186" s="29"/>
      <c r="H186" s="29"/>
      <c r="I186" s="29"/>
      <c r="J186" s="30">
        <f t="shared" si="44"/>
        <v>0</v>
      </c>
      <c r="K186" s="28"/>
      <c r="L186" s="31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3.25" x14ac:dyDescent="0.35">
      <c r="A187" s="149"/>
      <c r="B187" s="146"/>
      <c r="C187" s="146"/>
      <c r="D187" s="27">
        <v>46097</v>
      </c>
      <c r="E187" s="28" t="s">
        <v>295</v>
      </c>
      <c r="F187" s="29">
        <v>0.29166666666666669</v>
      </c>
      <c r="G187" s="29">
        <v>0.54166666666666663</v>
      </c>
      <c r="H187" s="29">
        <v>0.58333333333333337</v>
      </c>
      <c r="I187" s="29">
        <v>0.79166666666666663</v>
      </c>
      <c r="J187" s="30">
        <f t="shared" si="44"/>
        <v>10.999999999999996</v>
      </c>
      <c r="K187" s="30">
        <f t="shared" ref="K187:K189" si="46">J187-8</f>
        <v>2.9999999999999964</v>
      </c>
      <c r="L187" s="31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3.25" x14ac:dyDescent="0.35">
      <c r="A188" s="149"/>
      <c r="B188" s="146"/>
      <c r="C188" s="146"/>
      <c r="D188" s="27">
        <v>46098</v>
      </c>
      <c r="E188" s="28" t="s">
        <v>296</v>
      </c>
      <c r="F188" s="29">
        <v>0.29166666666666669</v>
      </c>
      <c r="G188" s="29">
        <v>0.54166666666666663</v>
      </c>
      <c r="H188" s="29">
        <v>0.58333333333333337</v>
      </c>
      <c r="I188" s="29">
        <v>0.75</v>
      </c>
      <c r="J188" s="30">
        <f t="shared" si="44"/>
        <v>9.9999999999999982</v>
      </c>
      <c r="K188" s="30">
        <f t="shared" si="46"/>
        <v>1.9999999999999982</v>
      </c>
      <c r="L188" s="31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3.25" x14ac:dyDescent="0.35">
      <c r="A189" s="149"/>
      <c r="B189" s="146"/>
      <c r="C189" s="146"/>
      <c r="D189" s="27">
        <v>46099</v>
      </c>
      <c r="E189" s="28" t="s">
        <v>297</v>
      </c>
      <c r="F189" s="29">
        <v>0.29166666666666669</v>
      </c>
      <c r="G189" s="29">
        <v>0.54166666666666663</v>
      </c>
      <c r="H189" s="29">
        <v>0.58333333333333337</v>
      </c>
      <c r="I189" s="29">
        <v>0.8125</v>
      </c>
      <c r="J189" s="30">
        <f t="shared" si="44"/>
        <v>11.499999999999998</v>
      </c>
      <c r="K189" s="32">
        <f t="shared" si="46"/>
        <v>3.4999999999999982</v>
      </c>
      <c r="L189" s="33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3.25" x14ac:dyDescent="0.35">
      <c r="A190" s="149"/>
      <c r="B190" s="146"/>
      <c r="C190" s="146"/>
      <c r="D190" s="27"/>
      <c r="E190" s="28"/>
      <c r="F190" s="28"/>
      <c r="G190" s="28"/>
      <c r="H190" s="26"/>
      <c r="I190" s="34" t="s">
        <v>298</v>
      </c>
      <c r="J190" s="35">
        <v>1000</v>
      </c>
      <c r="K190" s="34"/>
      <c r="L190" s="3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3.25" x14ac:dyDescent="0.35">
      <c r="A191" s="149"/>
      <c r="B191" s="146"/>
      <c r="C191" s="146"/>
      <c r="D191" s="27"/>
      <c r="E191" s="28"/>
      <c r="F191" s="28"/>
      <c r="G191" s="28"/>
      <c r="H191" s="37"/>
      <c r="I191" s="34" t="s">
        <v>299</v>
      </c>
      <c r="J191" s="35">
        <f>J190*(COUNTIF(J183:J189, "&gt;0.00"))</f>
        <v>6000</v>
      </c>
      <c r="K191" s="35">
        <f>(J190/8)*(SUM(K183:K189))</f>
        <v>1874.9999999999984</v>
      </c>
      <c r="L191" s="36">
        <f>SUM(L183:L189)</f>
        <v>0</v>
      </c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3.25" x14ac:dyDescent="0.35">
      <c r="A192" s="150"/>
      <c r="B192" s="147"/>
      <c r="C192" s="147"/>
      <c r="D192" s="38"/>
      <c r="E192" s="39"/>
      <c r="F192" s="39"/>
      <c r="G192" s="39"/>
      <c r="H192" s="40"/>
      <c r="I192" s="41" t="s">
        <v>300</v>
      </c>
      <c r="J192" s="42">
        <f>SUM(J191:K191)-L191</f>
        <v>7874.9999999999982</v>
      </c>
      <c r="K192" s="34"/>
      <c r="L192" s="3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3.25" x14ac:dyDescent="0.35">
      <c r="A193" s="43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44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46.5" x14ac:dyDescent="0.35">
      <c r="A194" s="22" t="s">
        <v>93</v>
      </c>
      <c r="B194" s="23" t="s">
        <v>94</v>
      </c>
      <c r="C194" s="23" t="s">
        <v>1</v>
      </c>
      <c r="D194" s="24" t="s">
        <v>284</v>
      </c>
      <c r="E194" s="24" t="s">
        <v>285</v>
      </c>
      <c r="F194" s="24" t="s">
        <v>286</v>
      </c>
      <c r="G194" s="24" t="s">
        <v>287</v>
      </c>
      <c r="H194" s="24" t="s">
        <v>286</v>
      </c>
      <c r="I194" s="24" t="s">
        <v>287</v>
      </c>
      <c r="J194" s="24" t="s">
        <v>288</v>
      </c>
      <c r="K194" s="24" t="s">
        <v>234</v>
      </c>
      <c r="L194" s="70" t="s">
        <v>302</v>
      </c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3.25" x14ac:dyDescent="0.35">
      <c r="A195" s="148" t="s">
        <v>204</v>
      </c>
      <c r="B195" s="145" t="s">
        <v>79</v>
      </c>
      <c r="C195" s="145" t="s">
        <v>301</v>
      </c>
      <c r="D195" s="27">
        <v>46086</v>
      </c>
      <c r="E195" s="28" t="s">
        <v>291</v>
      </c>
      <c r="F195" s="29">
        <v>0.16666666666666666</v>
      </c>
      <c r="G195" s="29">
        <v>0.54166666666666663</v>
      </c>
      <c r="H195" s="29">
        <v>0.58333333333333337</v>
      </c>
      <c r="I195" s="29">
        <v>0.70833333333333337</v>
      </c>
      <c r="J195" s="30">
        <f t="shared" ref="J195:J201" si="47">(((I195-H195)+(G195-F195))*24)</f>
        <v>12</v>
      </c>
      <c r="K195" s="30">
        <f t="shared" ref="K195:K197" si="48">J195-8</f>
        <v>4</v>
      </c>
      <c r="L195" s="71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3.25" x14ac:dyDescent="0.35">
      <c r="A196" s="149"/>
      <c r="B196" s="146"/>
      <c r="C196" s="146"/>
      <c r="D196" s="27">
        <v>46087</v>
      </c>
      <c r="E196" s="28" t="s">
        <v>292</v>
      </c>
      <c r="F196" s="29">
        <v>0.16666666666666666</v>
      </c>
      <c r="G196" s="29">
        <v>0.54166666666666663</v>
      </c>
      <c r="H196" s="29">
        <v>0.58333333333333337</v>
      </c>
      <c r="I196" s="29">
        <v>0.70833333333333337</v>
      </c>
      <c r="J196" s="30">
        <f t="shared" si="47"/>
        <v>12</v>
      </c>
      <c r="K196" s="30">
        <f t="shared" si="48"/>
        <v>4</v>
      </c>
      <c r="L196" s="71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3.25" x14ac:dyDescent="0.35">
      <c r="A197" s="149"/>
      <c r="B197" s="146"/>
      <c r="C197" s="146"/>
      <c r="D197" s="27">
        <v>46088</v>
      </c>
      <c r="E197" s="28" t="s">
        <v>293</v>
      </c>
      <c r="F197" s="29">
        <v>0.16666666666666666</v>
      </c>
      <c r="G197" s="29">
        <v>0.54166666666666663</v>
      </c>
      <c r="H197" s="29">
        <v>0.58333333333333337</v>
      </c>
      <c r="I197" s="29">
        <v>0.70833333333333337</v>
      </c>
      <c r="J197" s="30">
        <f t="shared" si="47"/>
        <v>12</v>
      </c>
      <c r="K197" s="30">
        <f t="shared" si="48"/>
        <v>4</v>
      </c>
      <c r="L197" s="71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3.25" x14ac:dyDescent="0.35">
      <c r="A198" s="149"/>
      <c r="B198" s="146"/>
      <c r="C198" s="146"/>
      <c r="D198" s="27">
        <v>46089</v>
      </c>
      <c r="E198" s="28" t="s">
        <v>294</v>
      </c>
      <c r="F198" s="29"/>
      <c r="G198" s="29"/>
      <c r="H198" s="29"/>
      <c r="I198" s="29"/>
      <c r="J198" s="30">
        <f t="shared" si="47"/>
        <v>0</v>
      </c>
      <c r="K198" s="28"/>
      <c r="L198" s="71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3.25" x14ac:dyDescent="0.35">
      <c r="A199" s="149"/>
      <c r="B199" s="146"/>
      <c r="C199" s="146"/>
      <c r="D199" s="27">
        <v>46090</v>
      </c>
      <c r="E199" s="28" t="s">
        <v>295</v>
      </c>
      <c r="F199" s="29">
        <v>0.16666666666666666</v>
      </c>
      <c r="G199" s="29">
        <v>0.54166666666666663</v>
      </c>
      <c r="H199" s="29">
        <v>0.58333333333333337</v>
      </c>
      <c r="I199" s="29">
        <v>0.70833333333333337</v>
      </c>
      <c r="J199" s="30">
        <f t="shared" si="47"/>
        <v>12</v>
      </c>
      <c r="K199" s="30">
        <f t="shared" ref="K199:K201" si="49">J199-8</f>
        <v>4</v>
      </c>
      <c r="L199" s="71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3.25" x14ac:dyDescent="0.35">
      <c r="A200" s="149"/>
      <c r="B200" s="146"/>
      <c r="C200" s="146"/>
      <c r="D200" s="27">
        <v>46091</v>
      </c>
      <c r="E200" s="28" t="s">
        <v>296</v>
      </c>
      <c r="F200" s="29">
        <v>0.16666666666666666</v>
      </c>
      <c r="G200" s="29">
        <v>0.54166666666666663</v>
      </c>
      <c r="H200" s="29">
        <v>0.58333333333333337</v>
      </c>
      <c r="I200" s="29">
        <v>0.70833333333333337</v>
      </c>
      <c r="J200" s="30">
        <f t="shared" si="47"/>
        <v>12</v>
      </c>
      <c r="K200" s="30">
        <f t="shared" si="49"/>
        <v>4</v>
      </c>
      <c r="L200" s="71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3.25" x14ac:dyDescent="0.35">
      <c r="A201" s="149"/>
      <c r="B201" s="146"/>
      <c r="C201" s="146"/>
      <c r="D201" s="27">
        <v>46092</v>
      </c>
      <c r="E201" s="28" t="s">
        <v>297</v>
      </c>
      <c r="F201" s="29">
        <v>0.16666666666666666</v>
      </c>
      <c r="G201" s="29">
        <v>0.54166666666666663</v>
      </c>
      <c r="H201" s="29">
        <v>0.58333333333333337</v>
      </c>
      <c r="I201" s="29">
        <v>0.70833333333333337</v>
      </c>
      <c r="J201" s="30">
        <f t="shared" si="47"/>
        <v>12</v>
      </c>
      <c r="K201" s="32">
        <f t="shared" si="49"/>
        <v>4</v>
      </c>
      <c r="L201" s="72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3.25" x14ac:dyDescent="0.35">
      <c r="A202" s="149"/>
      <c r="B202" s="146"/>
      <c r="C202" s="146"/>
      <c r="D202" s="27"/>
      <c r="E202" s="28"/>
      <c r="F202" s="28"/>
      <c r="G202" s="28"/>
      <c r="H202" s="26"/>
      <c r="I202" s="34" t="s">
        <v>298</v>
      </c>
      <c r="J202" s="35">
        <v>800</v>
      </c>
      <c r="K202" s="34"/>
      <c r="L202" s="73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3.25" x14ac:dyDescent="0.35">
      <c r="A203" s="149"/>
      <c r="B203" s="146"/>
      <c r="C203" s="146"/>
      <c r="D203" s="27"/>
      <c r="E203" s="28"/>
      <c r="F203" s="28"/>
      <c r="G203" s="28"/>
      <c r="H203" s="37"/>
      <c r="I203" s="34" t="s">
        <v>299</v>
      </c>
      <c r="J203" s="35">
        <f>J202*6</f>
        <v>4800</v>
      </c>
      <c r="K203" s="35">
        <f>(J202/8)*(SUM(K195:K201))</f>
        <v>2400</v>
      </c>
      <c r="L203" s="73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3.25" x14ac:dyDescent="0.35">
      <c r="A204" s="150"/>
      <c r="B204" s="147"/>
      <c r="C204" s="147"/>
      <c r="D204" s="38"/>
      <c r="E204" s="39"/>
      <c r="F204" s="39"/>
      <c r="G204" s="39"/>
      <c r="H204" s="40"/>
      <c r="I204" s="41" t="s">
        <v>300</v>
      </c>
      <c r="J204" s="42">
        <f>SUM(J203:K203)</f>
        <v>7200</v>
      </c>
      <c r="K204" s="34"/>
      <c r="L204" s="73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3.25" x14ac:dyDescent="0.35">
      <c r="A205" s="66"/>
      <c r="B205" s="67"/>
      <c r="C205" s="67"/>
      <c r="D205" s="68"/>
      <c r="E205" s="68"/>
      <c r="F205" s="68"/>
      <c r="G205" s="68"/>
      <c r="H205" s="68"/>
      <c r="I205" s="68"/>
      <c r="J205" s="68"/>
      <c r="K205" s="68"/>
      <c r="L205" s="69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46.5" x14ac:dyDescent="0.35">
      <c r="A206" s="22" t="s">
        <v>93</v>
      </c>
      <c r="B206" s="23" t="s">
        <v>94</v>
      </c>
      <c r="C206" s="23" t="s">
        <v>1</v>
      </c>
      <c r="D206" s="24" t="s">
        <v>284</v>
      </c>
      <c r="E206" s="24" t="s">
        <v>285</v>
      </c>
      <c r="F206" s="24" t="s">
        <v>286</v>
      </c>
      <c r="G206" s="24" t="s">
        <v>287</v>
      </c>
      <c r="H206" s="24" t="s">
        <v>286</v>
      </c>
      <c r="I206" s="24" t="s">
        <v>287</v>
      </c>
      <c r="J206" s="24" t="s">
        <v>288</v>
      </c>
      <c r="K206" s="24" t="s">
        <v>234</v>
      </c>
      <c r="L206" s="25" t="s">
        <v>302</v>
      </c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3.25" x14ac:dyDescent="0.35">
      <c r="A207" s="148" t="s">
        <v>206</v>
      </c>
      <c r="B207" s="145" t="s">
        <v>81</v>
      </c>
      <c r="C207" s="145" t="s">
        <v>16</v>
      </c>
      <c r="D207" s="27">
        <v>46093</v>
      </c>
      <c r="E207" s="28" t="s">
        <v>291</v>
      </c>
      <c r="F207" s="29">
        <v>0.29166666666666669</v>
      </c>
      <c r="G207" s="29">
        <v>0.54166666666666663</v>
      </c>
      <c r="H207" s="29">
        <v>0.58333333333333337</v>
      </c>
      <c r="I207" s="29">
        <v>0.75</v>
      </c>
      <c r="J207" s="30">
        <f t="shared" ref="J207:J213" si="50">(((I207-H207)+(G207-F207))*24)</f>
        <v>9.9999999999999982</v>
      </c>
      <c r="K207" s="30">
        <f t="shared" ref="K207:K209" si="51">J207-8</f>
        <v>1.9999999999999982</v>
      </c>
      <c r="L207" s="31">
        <v>1000</v>
      </c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3.25" x14ac:dyDescent="0.35">
      <c r="A208" s="149"/>
      <c r="B208" s="146"/>
      <c r="C208" s="146"/>
      <c r="D208" s="27">
        <v>46094</v>
      </c>
      <c r="E208" s="28" t="s">
        <v>292</v>
      </c>
      <c r="F208" s="29">
        <v>0.29166666666666669</v>
      </c>
      <c r="G208" s="29">
        <v>0.54166666666666663</v>
      </c>
      <c r="H208" s="29">
        <v>0.58333333333333337</v>
      </c>
      <c r="I208" s="29">
        <v>0.79027777777777775</v>
      </c>
      <c r="J208" s="30">
        <f t="shared" si="50"/>
        <v>10.966666666666663</v>
      </c>
      <c r="K208" s="30">
        <f t="shared" si="51"/>
        <v>2.9666666666666632</v>
      </c>
      <c r="L208" s="31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3.25" x14ac:dyDescent="0.35">
      <c r="A209" s="149"/>
      <c r="B209" s="146"/>
      <c r="C209" s="146"/>
      <c r="D209" s="27">
        <v>46095</v>
      </c>
      <c r="E209" s="28" t="s">
        <v>293</v>
      </c>
      <c r="F209" s="29">
        <v>0.29166666666666669</v>
      </c>
      <c r="G209" s="29">
        <v>0.54166666666666663</v>
      </c>
      <c r="H209" s="29">
        <v>0.58333333333333337</v>
      </c>
      <c r="I209" s="29">
        <v>0.79166666666666663</v>
      </c>
      <c r="J209" s="30">
        <f t="shared" si="50"/>
        <v>10.999999999999996</v>
      </c>
      <c r="K209" s="30">
        <f t="shared" si="51"/>
        <v>2.9999999999999964</v>
      </c>
      <c r="L209" s="31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3.25" x14ac:dyDescent="0.35">
      <c r="A210" s="149"/>
      <c r="B210" s="146"/>
      <c r="C210" s="146"/>
      <c r="D210" s="27">
        <v>46096</v>
      </c>
      <c r="E210" s="28" t="s">
        <v>294</v>
      </c>
      <c r="F210" s="29"/>
      <c r="G210" s="29"/>
      <c r="H210" s="29"/>
      <c r="I210" s="29"/>
      <c r="J210" s="30">
        <f t="shared" si="50"/>
        <v>0</v>
      </c>
      <c r="K210" s="28"/>
      <c r="L210" s="31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3.25" x14ac:dyDescent="0.35">
      <c r="A211" s="149"/>
      <c r="B211" s="146"/>
      <c r="C211" s="146"/>
      <c r="D211" s="27">
        <v>46097</v>
      </c>
      <c r="E211" s="28" t="s">
        <v>295</v>
      </c>
      <c r="F211" s="29">
        <v>0.29166666666666669</v>
      </c>
      <c r="G211" s="29">
        <v>0.54166666666666663</v>
      </c>
      <c r="H211" s="29">
        <v>0.58333333333333337</v>
      </c>
      <c r="I211" s="29">
        <v>0.79166666666666663</v>
      </c>
      <c r="J211" s="30">
        <f t="shared" si="50"/>
        <v>10.999999999999996</v>
      </c>
      <c r="K211" s="30">
        <f t="shared" ref="K211:K213" si="52">J211-8</f>
        <v>2.9999999999999964</v>
      </c>
      <c r="L211" s="31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3.25" x14ac:dyDescent="0.35">
      <c r="A212" s="149"/>
      <c r="B212" s="146"/>
      <c r="C212" s="146"/>
      <c r="D212" s="27">
        <v>46098</v>
      </c>
      <c r="E212" s="28" t="s">
        <v>296</v>
      </c>
      <c r="F212" s="29">
        <v>0.29166666666666669</v>
      </c>
      <c r="G212" s="29">
        <v>0.54166666666666663</v>
      </c>
      <c r="H212" s="29">
        <v>0.58333333333333337</v>
      </c>
      <c r="I212" s="29">
        <v>0.75</v>
      </c>
      <c r="J212" s="30">
        <f t="shared" si="50"/>
        <v>9.9999999999999982</v>
      </c>
      <c r="K212" s="30">
        <f t="shared" si="52"/>
        <v>1.9999999999999982</v>
      </c>
      <c r="L212" s="31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3.25" x14ac:dyDescent="0.35">
      <c r="A213" s="149"/>
      <c r="B213" s="146"/>
      <c r="C213" s="146"/>
      <c r="D213" s="27">
        <v>46099</v>
      </c>
      <c r="E213" s="28" t="s">
        <v>297</v>
      </c>
      <c r="F213" s="29">
        <v>0.29166666666666669</v>
      </c>
      <c r="G213" s="29">
        <v>0.54166666666666663</v>
      </c>
      <c r="H213" s="29">
        <v>0.58333333333333337</v>
      </c>
      <c r="I213" s="29">
        <v>0.8125</v>
      </c>
      <c r="J213" s="30">
        <f t="shared" si="50"/>
        <v>11.499999999999998</v>
      </c>
      <c r="K213" s="32">
        <f t="shared" si="52"/>
        <v>3.4999999999999982</v>
      </c>
      <c r="L213" s="33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3.25" x14ac:dyDescent="0.35">
      <c r="A214" s="149"/>
      <c r="B214" s="146"/>
      <c r="C214" s="146"/>
      <c r="D214" s="27"/>
      <c r="E214" s="28"/>
      <c r="F214" s="28"/>
      <c r="G214" s="28"/>
      <c r="H214" s="26"/>
      <c r="I214" s="34" t="s">
        <v>298</v>
      </c>
      <c r="J214" s="35">
        <v>1000</v>
      </c>
      <c r="K214" s="34"/>
      <c r="L214" s="3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3.25" x14ac:dyDescent="0.35">
      <c r="A215" s="149"/>
      <c r="B215" s="146"/>
      <c r="C215" s="146"/>
      <c r="D215" s="27"/>
      <c r="E215" s="28"/>
      <c r="F215" s="28"/>
      <c r="G215" s="28"/>
      <c r="H215" s="37"/>
      <c r="I215" s="34" t="s">
        <v>299</v>
      </c>
      <c r="J215" s="35">
        <f>J214*(COUNTIF(J207:J213, "&gt;0.00"))</f>
        <v>6000</v>
      </c>
      <c r="K215" s="35">
        <f>(J214/8)*(SUM(K207:K213))</f>
        <v>2058.3333333333312</v>
      </c>
      <c r="L215" s="36">
        <f>SUM(L207:L213)</f>
        <v>1000</v>
      </c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3.25" x14ac:dyDescent="0.35">
      <c r="A216" s="150"/>
      <c r="B216" s="147"/>
      <c r="C216" s="147"/>
      <c r="D216" s="38"/>
      <c r="E216" s="39"/>
      <c r="F216" s="39"/>
      <c r="G216" s="39"/>
      <c r="H216" s="40"/>
      <c r="I216" s="41" t="s">
        <v>300</v>
      </c>
      <c r="J216" s="42">
        <f>SUM(J215:K215)-L215</f>
        <v>7058.3333333333312</v>
      </c>
      <c r="K216" s="34"/>
      <c r="L216" s="3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3.25" x14ac:dyDescent="0.35">
      <c r="A217" s="43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44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46.5" x14ac:dyDescent="0.35">
      <c r="A218" s="22" t="s">
        <v>93</v>
      </c>
      <c r="B218" s="23" t="s">
        <v>94</v>
      </c>
      <c r="C218" s="23" t="s">
        <v>1</v>
      </c>
      <c r="D218" s="24" t="s">
        <v>284</v>
      </c>
      <c r="E218" s="24" t="s">
        <v>285</v>
      </c>
      <c r="F218" s="24" t="s">
        <v>286</v>
      </c>
      <c r="G218" s="24" t="s">
        <v>287</v>
      </c>
      <c r="H218" s="24" t="s">
        <v>286</v>
      </c>
      <c r="I218" s="24" t="s">
        <v>287</v>
      </c>
      <c r="J218" s="24" t="s">
        <v>288</v>
      </c>
      <c r="K218" s="24" t="s">
        <v>234</v>
      </c>
      <c r="L218" s="25" t="s">
        <v>302</v>
      </c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3.25" x14ac:dyDescent="0.35">
      <c r="A219" s="148" t="s">
        <v>80</v>
      </c>
      <c r="B219" s="145" t="s">
        <v>84</v>
      </c>
      <c r="C219" s="145" t="s">
        <v>301</v>
      </c>
      <c r="D219" s="27">
        <v>46093</v>
      </c>
      <c r="E219" s="28" t="s">
        <v>291</v>
      </c>
      <c r="F219" s="29">
        <v>0.29166666666666669</v>
      </c>
      <c r="G219" s="29">
        <v>0.54166666666666663</v>
      </c>
      <c r="H219" s="29">
        <v>0.58333333333333337</v>
      </c>
      <c r="I219" s="29">
        <v>0.75</v>
      </c>
      <c r="J219" s="30">
        <f t="shared" ref="J219:J225" si="53">(((I219-H219)+(G219-F219))*24)</f>
        <v>9.9999999999999982</v>
      </c>
      <c r="K219" s="30">
        <f t="shared" ref="K219:K221" si="54">J219-8</f>
        <v>1.9999999999999982</v>
      </c>
      <c r="L219" s="31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3.25" x14ac:dyDescent="0.35">
      <c r="A220" s="149"/>
      <c r="B220" s="146"/>
      <c r="C220" s="146"/>
      <c r="D220" s="27">
        <v>46094</v>
      </c>
      <c r="E220" s="28" t="s">
        <v>292</v>
      </c>
      <c r="F220" s="29">
        <v>0.29166666666666669</v>
      </c>
      <c r="G220" s="29">
        <v>0.54166666666666663</v>
      </c>
      <c r="H220" s="29">
        <v>0.58333333333333337</v>
      </c>
      <c r="I220" s="29">
        <v>0.79027777777777775</v>
      </c>
      <c r="J220" s="30">
        <f t="shared" si="53"/>
        <v>10.966666666666663</v>
      </c>
      <c r="K220" s="30">
        <f t="shared" si="54"/>
        <v>2.9666666666666632</v>
      </c>
      <c r="L220" s="31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3.25" x14ac:dyDescent="0.35">
      <c r="A221" s="149"/>
      <c r="B221" s="146"/>
      <c r="C221" s="146"/>
      <c r="D221" s="27">
        <v>46095</v>
      </c>
      <c r="E221" s="28" t="s">
        <v>293</v>
      </c>
      <c r="F221" s="29">
        <v>0.29166666666666669</v>
      </c>
      <c r="G221" s="29">
        <v>0.54166666666666663</v>
      </c>
      <c r="H221" s="29">
        <v>0.58333333333333337</v>
      </c>
      <c r="I221" s="29">
        <v>0.79166666666666663</v>
      </c>
      <c r="J221" s="30">
        <f t="shared" si="53"/>
        <v>10.999999999999996</v>
      </c>
      <c r="K221" s="30">
        <f t="shared" si="54"/>
        <v>2.9999999999999964</v>
      </c>
      <c r="L221" s="31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3.25" x14ac:dyDescent="0.35">
      <c r="A222" s="149"/>
      <c r="B222" s="146"/>
      <c r="C222" s="146"/>
      <c r="D222" s="27">
        <v>46096</v>
      </c>
      <c r="E222" s="28" t="s">
        <v>294</v>
      </c>
      <c r="F222" s="29"/>
      <c r="G222" s="29"/>
      <c r="H222" s="29"/>
      <c r="I222" s="29"/>
      <c r="J222" s="30">
        <f t="shared" si="53"/>
        <v>0</v>
      </c>
      <c r="K222" s="28"/>
      <c r="L222" s="31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3.25" x14ac:dyDescent="0.35">
      <c r="A223" s="149"/>
      <c r="B223" s="146"/>
      <c r="C223" s="146"/>
      <c r="D223" s="27">
        <v>46097</v>
      </c>
      <c r="E223" s="28" t="s">
        <v>295</v>
      </c>
      <c r="F223" s="29">
        <v>0.29166666666666669</v>
      </c>
      <c r="G223" s="29">
        <v>0.54166666666666663</v>
      </c>
      <c r="H223" s="29">
        <v>0.58333333333333337</v>
      </c>
      <c r="I223" s="29">
        <v>0.79166666666666663</v>
      </c>
      <c r="J223" s="30">
        <f t="shared" si="53"/>
        <v>10.999999999999996</v>
      </c>
      <c r="K223" s="30">
        <f t="shared" ref="K223:K225" si="55">J223-8</f>
        <v>2.9999999999999964</v>
      </c>
      <c r="L223" s="31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3.25" x14ac:dyDescent="0.35">
      <c r="A224" s="149"/>
      <c r="B224" s="146"/>
      <c r="C224" s="146"/>
      <c r="D224" s="27">
        <v>46098</v>
      </c>
      <c r="E224" s="28" t="s">
        <v>296</v>
      </c>
      <c r="F224" s="29">
        <v>0.29166666666666669</v>
      </c>
      <c r="G224" s="29">
        <v>0.54166666666666663</v>
      </c>
      <c r="H224" s="29">
        <v>0.58333333333333337</v>
      </c>
      <c r="I224" s="29">
        <v>0.75</v>
      </c>
      <c r="J224" s="30">
        <f t="shared" si="53"/>
        <v>9.9999999999999982</v>
      </c>
      <c r="K224" s="30">
        <f t="shared" si="55"/>
        <v>1.9999999999999982</v>
      </c>
      <c r="L224" s="31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3.25" x14ac:dyDescent="0.35">
      <c r="A225" s="149"/>
      <c r="B225" s="146"/>
      <c r="C225" s="146"/>
      <c r="D225" s="27">
        <v>46099</v>
      </c>
      <c r="E225" s="28" t="s">
        <v>297</v>
      </c>
      <c r="F225" s="29">
        <v>0.29166666666666669</v>
      </c>
      <c r="G225" s="29">
        <v>0.54166666666666663</v>
      </c>
      <c r="H225" s="29">
        <v>0.58333333333333337</v>
      </c>
      <c r="I225" s="29">
        <v>0.8125</v>
      </c>
      <c r="J225" s="30">
        <f t="shared" si="53"/>
        <v>11.499999999999998</v>
      </c>
      <c r="K225" s="32">
        <f t="shared" si="55"/>
        <v>3.4999999999999982</v>
      </c>
      <c r="L225" s="33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3.25" x14ac:dyDescent="0.35">
      <c r="A226" s="149"/>
      <c r="B226" s="146"/>
      <c r="C226" s="146"/>
      <c r="D226" s="27"/>
      <c r="E226" s="28"/>
      <c r="F226" s="28"/>
      <c r="G226" s="28"/>
      <c r="H226" s="26"/>
      <c r="I226" s="34" t="s">
        <v>298</v>
      </c>
      <c r="J226" s="35">
        <v>800</v>
      </c>
      <c r="K226" s="34"/>
      <c r="L226" s="3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3.25" x14ac:dyDescent="0.35">
      <c r="A227" s="149"/>
      <c r="B227" s="146"/>
      <c r="C227" s="146"/>
      <c r="D227" s="27"/>
      <c r="E227" s="28"/>
      <c r="F227" s="28"/>
      <c r="G227" s="28"/>
      <c r="H227" s="37"/>
      <c r="I227" s="34" t="s">
        <v>299</v>
      </c>
      <c r="J227" s="35">
        <f>J226*(COUNTIF(J219:J225, "&gt;0.00"))</f>
        <v>4800</v>
      </c>
      <c r="K227" s="35">
        <f>(J226/8)*(SUM(K219:K225))</f>
        <v>1646.6666666666652</v>
      </c>
      <c r="L227" s="36">
        <f>SUM(L219:L225)</f>
        <v>0</v>
      </c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3.25" x14ac:dyDescent="0.35">
      <c r="A228" s="150"/>
      <c r="B228" s="147"/>
      <c r="C228" s="147"/>
      <c r="D228" s="38"/>
      <c r="E228" s="39"/>
      <c r="F228" s="39"/>
      <c r="G228" s="39"/>
      <c r="H228" s="40"/>
      <c r="I228" s="41" t="s">
        <v>300</v>
      </c>
      <c r="J228" s="42">
        <f>SUM(J227:K227)-L227</f>
        <v>6446.6666666666652</v>
      </c>
      <c r="K228" s="34"/>
      <c r="L228" s="3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3.25" x14ac:dyDescent="0.35">
      <c r="A229" s="43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44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46.5" x14ac:dyDescent="0.35">
      <c r="A230" s="22" t="s">
        <v>93</v>
      </c>
      <c r="B230" s="23" t="s">
        <v>94</v>
      </c>
      <c r="C230" s="23" t="s">
        <v>1</v>
      </c>
      <c r="D230" s="24" t="s">
        <v>284</v>
      </c>
      <c r="E230" s="24" t="s">
        <v>285</v>
      </c>
      <c r="F230" s="24" t="s">
        <v>286</v>
      </c>
      <c r="G230" s="24" t="s">
        <v>287</v>
      </c>
      <c r="H230" s="24" t="s">
        <v>286</v>
      </c>
      <c r="I230" s="24" t="s">
        <v>287</v>
      </c>
      <c r="J230" s="24" t="s">
        <v>288</v>
      </c>
      <c r="K230" s="24" t="s">
        <v>234</v>
      </c>
      <c r="L230" s="25" t="s">
        <v>302</v>
      </c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3.25" x14ac:dyDescent="0.35">
      <c r="A231" s="148" t="s">
        <v>83</v>
      </c>
      <c r="B231" s="145" t="s">
        <v>88</v>
      </c>
      <c r="C231" s="145" t="s">
        <v>301</v>
      </c>
      <c r="D231" s="27">
        <v>46093</v>
      </c>
      <c r="E231" s="28" t="s">
        <v>291</v>
      </c>
      <c r="F231" s="29">
        <v>0.29166666666666669</v>
      </c>
      <c r="G231" s="29">
        <v>0.54166666666666663</v>
      </c>
      <c r="H231" s="29">
        <v>0.58333333333333337</v>
      </c>
      <c r="I231" s="29">
        <v>0.75</v>
      </c>
      <c r="J231" s="30">
        <f t="shared" ref="J231:J237" si="56">(((I231-H231)+(G231-F231))*24)</f>
        <v>9.9999999999999982</v>
      </c>
      <c r="K231" s="30">
        <f t="shared" ref="K231:K233" si="57">J231-8</f>
        <v>1.9999999999999982</v>
      </c>
      <c r="L231" s="31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3.25" x14ac:dyDescent="0.35">
      <c r="A232" s="149"/>
      <c r="B232" s="146"/>
      <c r="C232" s="146"/>
      <c r="D232" s="27">
        <v>46094</v>
      </c>
      <c r="E232" s="28" t="s">
        <v>292</v>
      </c>
      <c r="F232" s="29">
        <v>0.29166666666666669</v>
      </c>
      <c r="G232" s="29">
        <v>0.54166666666666663</v>
      </c>
      <c r="H232" s="29">
        <v>0.58333333333333337</v>
      </c>
      <c r="I232" s="29">
        <v>0.79027777777777775</v>
      </c>
      <c r="J232" s="30">
        <f t="shared" si="56"/>
        <v>10.966666666666663</v>
      </c>
      <c r="K232" s="30">
        <f t="shared" si="57"/>
        <v>2.9666666666666632</v>
      </c>
      <c r="L232" s="31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3.25" x14ac:dyDescent="0.35">
      <c r="A233" s="149"/>
      <c r="B233" s="146"/>
      <c r="C233" s="146"/>
      <c r="D233" s="27">
        <v>46095</v>
      </c>
      <c r="E233" s="28" t="s">
        <v>293</v>
      </c>
      <c r="F233" s="29">
        <v>0.29166666666666669</v>
      </c>
      <c r="G233" s="29">
        <v>0.54166666666666663</v>
      </c>
      <c r="H233" s="29">
        <v>0.58333333333333337</v>
      </c>
      <c r="I233" s="29">
        <v>0.79166666666666663</v>
      </c>
      <c r="J233" s="30">
        <f t="shared" si="56"/>
        <v>10.999999999999996</v>
      </c>
      <c r="K233" s="30">
        <f t="shared" si="57"/>
        <v>2.9999999999999964</v>
      </c>
      <c r="L233" s="31" t="s">
        <v>303</v>
      </c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3.25" x14ac:dyDescent="0.35">
      <c r="A234" s="149"/>
      <c r="B234" s="146"/>
      <c r="C234" s="146"/>
      <c r="D234" s="27">
        <v>46096</v>
      </c>
      <c r="E234" s="28" t="s">
        <v>294</v>
      </c>
      <c r="F234" s="29"/>
      <c r="G234" s="29"/>
      <c r="H234" s="29"/>
      <c r="I234" s="29"/>
      <c r="J234" s="30">
        <f t="shared" si="56"/>
        <v>0</v>
      </c>
      <c r="K234" s="28"/>
      <c r="L234" s="31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3.25" x14ac:dyDescent="0.35">
      <c r="A235" s="149"/>
      <c r="B235" s="146"/>
      <c r="C235" s="146"/>
      <c r="D235" s="27">
        <v>46097</v>
      </c>
      <c r="E235" s="28" t="s">
        <v>295</v>
      </c>
      <c r="F235" s="29"/>
      <c r="G235" s="29"/>
      <c r="H235" s="29"/>
      <c r="I235" s="29"/>
      <c r="J235" s="30">
        <f t="shared" si="56"/>
        <v>0</v>
      </c>
      <c r="K235" s="28"/>
      <c r="L235" s="31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3.25" x14ac:dyDescent="0.35">
      <c r="A236" s="149"/>
      <c r="B236" s="146"/>
      <c r="C236" s="146"/>
      <c r="D236" s="27">
        <v>46098</v>
      </c>
      <c r="E236" s="28" t="s">
        <v>296</v>
      </c>
      <c r="F236" s="29"/>
      <c r="G236" s="29"/>
      <c r="H236" s="29"/>
      <c r="I236" s="29"/>
      <c r="J236" s="30">
        <f t="shared" si="56"/>
        <v>0</v>
      </c>
      <c r="K236" s="28"/>
      <c r="L236" s="31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3.25" x14ac:dyDescent="0.35">
      <c r="A237" s="149"/>
      <c r="B237" s="146"/>
      <c r="C237" s="146"/>
      <c r="D237" s="27">
        <v>46099</v>
      </c>
      <c r="E237" s="28" t="s">
        <v>297</v>
      </c>
      <c r="F237" s="29">
        <v>0.29166666666666669</v>
      </c>
      <c r="G237" s="29">
        <v>0.54166666666666663</v>
      </c>
      <c r="H237" s="29">
        <v>0.58333333333333337</v>
      </c>
      <c r="I237" s="29">
        <v>0.8125</v>
      </c>
      <c r="J237" s="30">
        <f t="shared" si="56"/>
        <v>11.499999999999998</v>
      </c>
      <c r="K237" s="32">
        <f>J237-8</f>
        <v>3.4999999999999982</v>
      </c>
      <c r="L237" s="33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3.25" x14ac:dyDescent="0.35">
      <c r="A238" s="149"/>
      <c r="B238" s="146"/>
      <c r="C238" s="146"/>
      <c r="D238" s="27"/>
      <c r="E238" s="28"/>
      <c r="F238" s="28"/>
      <c r="G238" s="28"/>
      <c r="H238" s="26"/>
      <c r="I238" s="34" t="s">
        <v>298</v>
      </c>
      <c r="J238" s="35">
        <v>800</v>
      </c>
      <c r="K238" s="34"/>
      <c r="L238" s="3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3.25" x14ac:dyDescent="0.35">
      <c r="A239" s="149"/>
      <c r="B239" s="146"/>
      <c r="C239" s="146"/>
      <c r="D239" s="27"/>
      <c r="E239" s="28"/>
      <c r="F239" s="28"/>
      <c r="G239" s="28"/>
      <c r="H239" s="37"/>
      <c r="I239" s="34" t="s">
        <v>299</v>
      </c>
      <c r="J239" s="35">
        <f>J238*(COUNTIF(J231:J237, "&gt;0.00"))</f>
        <v>3200</v>
      </c>
      <c r="K239" s="35">
        <f>(J238/8)*(SUM(K231:K237))</f>
        <v>1146.6666666666656</v>
      </c>
      <c r="L239" s="36">
        <f>SUM(L231:L237)</f>
        <v>0</v>
      </c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3.25" x14ac:dyDescent="0.35">
      <c r="A240" s="150"/>
      <c r="B240" s="147"/>
      <c r="C240" s="147"/>
      <c r="D240" s="38"/>
      <c r="E240" s="39"/>
      <c r="F240" s="39"/>
      <c r="G240" s="39"/>
      <c r="H240" s="40"/>
      <c r="I240" s="41" t="s">
        <v>300</v>
      </c>
      <c r="J240" s="42">
        <f>SUM(J239:K239)-L239</f>
        <v>4346.6666666666661</v>
      </c>
      <c r="K240" s="34"/>
      <c r="L240" s="3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3.25" x14ac:dyDescent="0.35">
      <c r="A241" s="43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44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46.5" x14ac:dyDescent="0.35">
      <c r="A242" s="22" t="s">
        <v>93</v>
      </c>
      <c r="B242" s="23" t="s">
        <v>94</v>
      </c>
      <c r="C242" s="23" t="s">
        <v>1</v>
      </c>
      <c r="D242" s="24" t="s">
        <v>284</v>
      </c>
      <c r="E242" s="24" t="s">
        <v>285</v>
      </c>
      <c r="F242" s="24" t="s">
        <v>286</v>
      </c>
      <c r="G242" s="24" t="s">
        <v>287</v>
      </c>
      <c r="H242" s="24" t="s">
        <v>286</v>
      </c>
      <c r="I242" s="24" t="s">
        <v>287</v>
      </c>
      <c r="J242" s="24" t="s">
        <v>288</v>
      </c>
      <c r="K242" s="24" t="s">
        <v>234</v>
      </c>
      <c r="L242" s="25" t="s">
        <v>302</v>
      </c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3.25" x14ac:dyDescent="0.35">
      <c r="A243" s="148" t="s">
        <v>85</v>
      </c>
      <c r="B243" s="145" t="s">
        <v>91</v>
      </c>
      <c r="C243" s="145" t="s">
        <v>301</v>
      </c>
      <c r="D243" s="27">
        <v>46093</v>
      </c>
      <c r="E243" s="28" t="s">
        <v>291</v>
      </c>
      <c r="F243" s="29">
        <v>0.29166666666666669</v>
      </c>
      <c r="G243" s="29">
        <v>0.54166666666666663</v>
      </c>
      <c r="H243" s="29">
        <v>0.58333333333333337</v>
      </c>
      <c r="I243" s="29">
        <v>0.75</v>
      </c>
      <c r="J243" s="30">
        <f t="shared" ref="J243:J249" si="58">(((I243-H243)+(G243-F243))*24)</f>
        <v>9.9999999999999982</v>
      </c>
      <c r="K243" s="30">
        <f t="shared" ref="K243:K244" si="59">J243-8</f>
        <v>1.9999999999999982</v>
      </c>
      <c r="L243" s="31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3.25" x14ac:dyDescent="0.35">
      <c r="A244" s="149"/>
      <c r="B244" s="146"/>
      <c r="C244" s="146"/>
      <c r="D244" s="27">
        <v>46094</v>
      </c>
      <c r="E244" s="28" t="s">
        <v>292</v>
      </c>
      <c r="F244" s="29">
        <v>0.29166666666666669</v>
      </c>
      <c r="G244" s="29">
        <v>0.54166666666666663</v>
      </c>
      <c r="H244" s="29">
        <v>0.58333333333333337</v>
      </c>
      <c r="I244" s="29">
        <v>0.79166666666666663</v>
      </c>
      <c r="J244" s="30">
        <f t="shared" si="58"/>
        <v>10.999999999999996</v>
      </c>
      <c r="K244" s="30">
        <f t="shared" si="59"/>
        <v>2.9999999999999964</v>
      </c>
      <c r="L244" s="31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3.25" x14ac:dyDescent="0.35">
      <c r="A245" s="149"/>
      <c r="B245" s="146"/>
      <c r="C245" s="146"/>
      <c r="D245" s="27">
        <v>46095</v>
      </c>
      <c r="E245" s="28" t="s">
        <v>293</v>
      </c>
      <c r="F245" s="29"/>
      <c r="G245" s="29"/>
      <c r="H245" s="29"/>
      <c r="I245" s="29"/>
      <c r="J245" s="30">
        <f t="shared" si="58"/>
        <v>0</v>
      </c>
      <c r="K245" s="28"/>
      <c r="L245" s="31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3.25" x14ac:dyDescent="0.35">
      <c r="A246" s="149"/>
      <c r="B246" s="146"/>
      <c r="C246" s="146"/>
      <c r="D246" s="27">
        <v>46096</v>
      </c>
      <c r="E246" s="28" t="s">
        <v>294</v>
      </c>
      <c r="F246" s="29"/>
      <c r="G246" s="29"/>
      <c r="H246" s="29"/>
      <c r="I246" s="29"/>
      <c r="J246" s="30">
        <f t="shared" si="58"/>
        <v>0</v>
      </c>
      <c r="K246" s="28"/>
      <c r="L246" s="31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3.25" x14ac:dyDescent="0.35">
      <c r="A247" s="149"/>
      <c r="B247" s="146"/>
      <c r="C247" s="146"/>
      <c r="D247" s="27">
        <v>46097</v>
      </c>
      <c r="E247" s="28" t="s">
        <v>295</v>
      </c>
      <c r="F247" s="29"/>
      <c r="G247" s="29"/>
      <c r="H247" s="29"/>
      <c r="I247" s="29"/>
      <c r="J247" s="30">
        <f t="shared" si="58"/>
        <v>0</v>
      </c>
      <c r="K247" s="28"/>
      <c r="L247" s="31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3.25" x14ac:dyDescent="0.35">
      <c r="A248" s="149"/>
      <c r="B248" s="146"/>
      <c r="C248" s="146"/>
      <c r="D248" s="27">
        <v>46098</v>
      </c>
      <c r="E248" s="28" t="s">
        <v>296</v>
      </c>
      <c r="F248" s="29"/>
      <c r="G248" s="29"/>
      <c r="H248" s="29"/>
      <c r="I248" s="29"/>
      <c r="J248" s="30">
        <f t="shared" si="58"/>
        <v>0</v>
      </c>
      <c r="K248" s="28"/>
      <c r="L248" s="31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3.25" x14ac:dyDescent="0.35">
      <c r="A249" s="149"/>
      <c r="B249" s="146"/>
      <c r="C249" s="146"/>
      <c r="D249" s="27">
        <v>46099</v>
      </c>
      <c r="E249" s="28" t="s">
        <v>297</v>
      </c>
      <c r="F249" s="29"/>
      <c r="G249" s="29"/>
      <c r="H249" s="29"/>
      <c r="I249" s="29"/>
      <c r="J249" s="30">
        <f t="shared" si="58"/>
        <v>0</v>
      </c>
      <c r="K249" s="83"/>
      <c r="L249" s="33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3.25" x14ac:dyDescent="0.35">
      <c r="A250" s="149"/>
      <c r="B250" s="146"/>
      <c r="C250" s="146"/>
      <c r="D250" s="27"/>
      <c r="E250" s="28"/>
      <c r="F250" s="28"/>
      <c r="G250" s="28"/>
      <c r="H250" s="26"/>
      <c r="I250" s="34" t="s">
        <v>298</v>
      </c>
      <c r="J250" s="35">
        <v>800</v>
      </c>
      <c r="K250" s="34"/>
      <c r="L250" s="3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3.25" x14ac:dyDescent="0.35">
      <c r="A251" s="149"/>
      <c r="B251" s="146"/>
      <c r="C251" s="146"/>
      <c r="D251" s="27"/>
      <c r="E251" s="28"/>
      <c r="F251" s="28"/>
      <c r="G251" s="28"/>
      <c r="H251" s="37"/>
      <c r="I251" s="34" t="s">
        <v>299</v>
      </c>
      <c r="J251" s="35">
        <f>J250*(COUNTIF(J243:J249, "&gt;0.00"))</f>
        <v>1600</v>
      </c>
      <c r="K251" s="35">
        <f>(J250/8)*(SUM(K243:K249))</f>
        <v>499.99999999999949</v>
      </c>
      <c r="L251" s="36">
        <f>SUM(L243:L249)</f>
        <v>0</v>
      </c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3.25" x14ac:dyDescent="0.35">
      <c r="A252" s="150"/>
      <c r="B252" s="147"/>
      <c r="C252" s="147"/>
      <c r="D252" s="38"/>
      <c r="E252" s="39"/>
      <c r="F252" s="39"/>
      <c r="G252" s="39"/>
      <c r="H252" s="40"/>
      <c r="I252" s="41" t="s">
        <v>300</v>
      </c>
      <c r="J252" s="42">
        <f>SUM(J251:K251)-L251</f>
        <v>2099.9999999999995</v>
      </c>
      <c r="K252" s="34"/>
      <c r="L252" s="3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3.25" x14ac:dyDescent="0.35">
      <c r="A253" s="43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44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46.5" x14ac:dyDescent="0.35">
      <c r="A254" s="22" t="s">
        <v>93</v>
      </c>
      <c r="B254" s="23" t="s">
        <v>94</v>
      </c>
      <c r="C254" s="23" t="s">
        <v>1</v>
      </c>
      <c r="D254" s="24" t="s">
        <v>284</v>
      </c>
      <c r="E254" s="24" t="s">
        <v>285</v>
      </c>
      <c r="F254" s="24" t="s">
        <v>286</v>
      </c>
      <c r="G254" s="24" t="s">
        <v>287</v>
      </c>
      <c r="H254" s="24" t="s">
        <v>286</v>
      </c>
      <c r="I254" s="24" t="s">
        <v>287</v>
      </c>
      <c r="J254" s="24" t="s">
        <v>288</v>
      </c>
      <c r="K254" s="24" t="s">
        <v>234</v>
      </c>
      <c r="L254" s="25" t="s">
        <v>302</v>
      </c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3.25" x14ac:dyDescent="0.35">
      <c r="A255" s="148" t="s">
        <v>87</v>
      </c>
      <c r="B255" s="145" t="s">
        <v>113</v>
      </c>
      <c r="C255" s="145" t="s">
        <v>301</v>
      </c>
      <c r="D255" s="27">
        <v>46093</v>
      </c>
      <c r="E255" s="28" t="s">
        <v>291</v>
      </c>
      <c r="F255" s="29">
        <v>0.29166666666666669</v>
      </c>
      <c r="G255" s="29">
        <v>0.54166666666666663</v>
      </c>
      <c r="H255" s="29">
        <v>0.58333333333333337</v>
      </c>
      <c r="I255" s="29">
        <v>0.75</v>
      </c>
      <c r="J255" s="30">
        <f t="shared" ref="J255:J261" si="60">(((I255-H255)+(G255-F255))*24)</f>
        <v>9.9999999999999982</v>
      </c>
      <c r="K255" s="30">
        <f t="shared" ref="K255:K257" si="61">J255-8</f>
        <v>1.9999999999999982</v>
      </c>
      <c r="L255" s="31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3.25" x14ac:dyDescent="0.35">
      <c r="A256" s="149"/>
      <c r="B256" s="146"/>
      <c r="C256" s="146"/>
      <c r="D256" s="27">
        <v>46094</v>
      </c>
      <c r="E256" s="28" t="s">
        <v>292</v>
      </c>
      <c r="F256" s="29">
        <v>0.29166666666666669</v>
      </c>
      <c r="G256" s="29">
        <v>0.54166666666666663</v>
      </c>
      <c r="H256" s="29">
        <v>0.58333333333333337</v>
      </c>
      <c r="I256" s="29">
        <v>0.75</v>
      </c>
      <c r="J256" s="30">
        <f t="shared" si="60"/>
        <v>9.9999999999999982</v>
      </c>
      <c r="K256" s="30">
        <f t="shared" si="61"/>
        <v>1.9999999999999982</v>
      </c>
      <c r="L256" s="31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3.25" x14ac:dyDescent="0.35">
      <c r="A257" s="149"/>
      <c r="B257" s="146"/>
      <c r="C257" s="146"/>
      <c r="D257" s="27">
        <v>46095</v>
      </c>
      <c r="E257" s="28" t="s">
        <v>293</v>
      </c>
      <c r="F257" s="29">
        <v>0.29166666666666669</v>
      </c>
      <c r="G257" s="29">
        <v>0.54166666666666663</v>
      </c>
      <c r="H257" s="29">
        <v>0.58333333333333337</v>
      </c>
      <c r="I257" s="29">
        <v>0.79166666666666663</v>
      </c>
      <c r="J257" s="30">
        <f t="shared" si="60"/>
        <v>10.999999999999996</v>
      </c>
      <c r="K257" s="30">
        <f t="shared" si="61"/>
        <v>2.9999999999999964</v>
      </c>
      <c r="L257" s="31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3.25" x14ac:dyDescent="0.35">
      <c r="A258" s="149"/>
      <c r="B258" s="146"/>
      <c r="C258" s="146"/>
      <c r="D258" s="27">
        <v>46096</v>
      </c>
      <c r="E258" s="28" t="s">
        <v>294</v>
      </c>
      <c r="F258" s="29"/>
      <c r="G258" s="29"/>
      <c r="H258" s="29"/>
      <c r="I258" s="29"/>
      <c r="J258" s="30">
        <f t="shared" si="60"/>
        <v>0</v>
      </c>
      <c r="K258" s="28"/>
      <c r="L258" s="31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3.25" x14ac:dyDescent="0.35">
      <c r="A259" s="149"/>
      <c r="B259" s="146"/>
      <c r="C259" s="146"/>
      <c r="D259" s="27">
        <v>46097</v>
      </c>
      <c r="E259" s="28" t="s">
        <v>295</v>
      </c>
      <c r="F259" s="29">
        <v>0.29166666666666669</v>
      </c>
      <c r="G259" s="29">
        <v>0.54166666666666663</v>
      </c>
      <c r="H259" s="29">
        <v>0.58333333333333337</v>
      </c>
      <c r="I259" s="29">
        <v>0.79166666666666663</v>
      </c>
      <c r="J259" s="30">
        <f t="shared" si="60"/>
        <v>10.999999999999996</v>
      </c>
      <c r="K259" s="30">
        <f t="shared" ref="K259:K261" si="62">J259-8</f>
        <v>2.9999999999999964</v>
      </c>
      <c r="L259" s="31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3.25" x14ac:dyDescent="0.35">
      <c r="A260" s="149"/>
      <c r="B260" s="146"/>
      <c r="C260" s="146"/>
      <c r="D260" s="27">
        <v>46098</v>
      </c>
      <c r="E260" s="28" t="s">
        <v>296</v>
      </c>
      <c r="F260" s="29">
        <v>0.29166666666666669</v>
      </c>
      <c r="G260" s="29">
        <v>0.54166666666666663</v>
      </c>
      <c r="H260" s="29">
        <v>0.58333333333333337</v>
      </c>
      <c r="I260" s="29">
        <v>0.75</v>
      </c>
      <c r="J260" s="30">
        <f t="shared" si="60"/>
        <v>9.9999999999999982</v>
      </c>
      <c r="K260" s="30">
        <f t="shared" si="62"/>
        <v>1.9999999999999982</v>
      </c>
      <c r="L260" s="31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3.25" x14ac:dyDescent="0.35">
      <c r="A261" s="149"/>
      <c r="B261" s="146"/>
      <c r="C261" s="146"/>
      <c r="D261" s="27">
        <v>46099</v>
      </c>
      <c r="E261" s="28" t="s">
        <v>297</v>
      </c>
      <c r="F261" s="29">
        <v>0.29166666666666669</v>
      </c>
      <c r="G261" s="29">
        <v>0.54166666666666663</v>
      </c>
      <c r="H261" s="29">
        <v>0.58333333333333337</v>
      </c>
      <c r="I261" s="29">
        <v>0.8125</v>
      </c>
      <c r="J261" s="30">
        <f t="shared" si="60"/>
        <v>11.499999999999998</v>
      </c>
      <c r="K261" s="32">
        <f t="shared" si="62"/>
        <v>3.4999999999999982</v>
      </c>
      <c r="L261" s="33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3.25" x14ac:dyDescent="0.35">
      <c r="A262" s="149"/>
      <c r="B262" s="146"/>
      <c r="C262" s="146"/>
      <c r="D262" s="27"/>
      <c r="E262" s="28"/>
      <c r="F262" s="28"/>
      <c r="G262" s="28"/>
      <c r="H262" s="26"/>
      <c r="I262" s="34" t="s">
        <v>298</v>
      </c>
      <c r="J262" s="35">
        <v>800</v>
      </c>
      <c r="K262" s="34"/>
      <c r="L262" s="3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3.25" x14ac:dyDescent="0.35">
      <c r="A263" s="149"/>
      <c r="B263" s="146"/>
      <c r="C263" s="146"/>
      <c r="D263" s="27"/>
      <c r="E263" s="28"/>
      <c r="F263" s="28"/>
      <c r="G263" s="28"/>
      <c r="H263" s="37"/>
      <c r="I263" s="34" t="s">
        <v>299</v>
      </c>
      <c r="J263" s="35">
        <f>J262*(COUNTIF(J255:J261, "&gt;0.00"))</f>
        <v>4800</v>
      </c>
      <c r="K263" s="35">
        <f>(J262/8)*(SUM(K255:K261))</f>
        <v>1549.9999999999986</v>
      </c>
      <c r="L263" s="36">
        <f>SUM(L255:L261)</f>
        <v>0</v>
      </c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3.25" x14ac:dyDescent="0.35">
      <c r="A264" s="150"/>
      <c r="B264" s="147"/>
      <c r="C264" s="147"/>
      <c r="D264" s="38"/>
      <c r="E264" s="39"/>
      <c r="F264" s="39"/>
      <c r="G264" s="39"/>
      <c r="H264" s="40"/>
      <c r="I264" s="41" t="s">
        <v>300</v>
      </c>
      <c r="J264" s="42">
        <f>SUM(J263:K263)-L263</f>
        <v>6349.9999999999982</v>
      </c>
      <c r="K264" s="34"/>
      <c r="L264" s="3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3.25" x14ac:dyDescent="0.35">
      <c r="A265" s="43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44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46.5" x14ac:dyDescent="0.35">
      <c r="A266" s="22" t="s">
        <v>93</v>
      </c>
      <c r="B266" s="23" t="s">
        <v>94</v>
      </c>
      <c r="C266" s="23" t="s">
        <v>1</v>
      </c>
      <c r="D266" s="24" t="s">
        <v>284</v>
      </c>
      <c r="E266" s="24" t="s">
        <v>285</v>
      </c>
      <c r="F266" s="24" t="s">
        <v>286</v>
      </c>
      <c r="G266" s="24" t="s">
        <v>287</v>
      </c>
      <c r="H266" s="24" t="s">
        <v>286</v>
      </c>
      <c r="I266" s="24" t="s">
        <v>287</v>
      </c>
      <c r="J266" s="24" t="s">
        <v>288</v>
      </c>
      <c r="K266" s="24" t="s">
        <v>234</v>
      </c>
      <c r="L266" s="25" t="s">
        <v>302</v>
      </c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3.25" x14ac:dyDescent="0.35">
      <c r="A267" s="148" t="s">
        <v>90</v>
      </c>
      <c r="B267" s="145" t="s">
        <v>114</v>
      </c>
      <c r="C267" s="145" t="s">
        <v>301</v>
      </c>
      <c r="D267" s="27">
        <v>46093</v>
      </c>
      <c r="E267" s="28" t="s">
        <v>291</v>
      </c>
      <c r="F267" s="29">
        <v>0.29166666666666669</v>
      </c>
      <c r="G267" s="29">
        <v>0.54166666666666663</v>
      </c>
      <c r="H267" s="29">
        <v>0.58333333333333337</v>
      </c>
      <c r="I267" s="29">
        <v>0.77083333333333337</v>
      </c>
      <c r="J267" s="30">
        <f t="shared" ref="J267:J273" si="63">(((I267-H267)+(G267-F267))*24)</f>
        <v>10.499999999999998</v>
      </c>
      <c r="K267" s="30">
        <f t="shared" ref="K267:K269" si="64">J267-8</f>
        <v>2.4999999999999982</v>
      </c>
      <c r="L267" s="31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3.25" x14ac:dyDescent="0.35">
      <c r="A268" s="149"/>
      <c r="B268" s="146"/>
      <c r="C268" s="146"/>
      <c r="D268" s="27">
        <v>46094</v>
      </c>
      <c r="E268" s="28" t="s">
        <v>292</v>
      </c>
      <c r="F268" s="29">
        <v>0.3298611111111111</v>
      </c>
      <c r="G268" s="29">
        <v>0.54166666666666663</v>
      </c>
      <c r="H268" s="29">
        <v>0.58333333333333337</v>
      </c>
      <c r="I268" s="29">
        <v>0.72916666666666663</v>
      </c>
      <c r="J268" s="30">
        <f t="shared" si="63"/>
        <v>8.5833333333333304</v>
      </c>
      <c r="K268" s="30">
        <f t="shared" si="64"/>
        <v>0.58333333333333037</v>
      </c>
      <c r="L268" s="31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3.25" x14ac:dyDescent="0.35">
      <c r="A269" s="149"/>
      <c r="B269" s="146"/>
      <c r="C269" s="146"/>
      <c r="D269" s="27">
        <v>46095</v>
      </c>
      <c r="E269" s="28" t="s">
        <v>293</v>
      </c>
      <c r="F269" s="29">
        <v>0.29166666666666669</v>
      </c>
      <c r="G269" s="29">
        <v>0.54166666666666663</v>
      </c>
      <c r="H269" s="29">
        <v>0.58333333333333337</v>
      </c>
      <c r="I269" s="29">
        <v>0.79166666666666663</v>
      </c>
      <c r="J269" s="30">
        <f t="shared" si="63"/>
        <v>10.999999999999996</v>
      </c>
      <c r="K269" s="30">
        <f t="shared" si="64"/>
        <v>2.9999999999999964</v>
      </c>
      <c r="L269" s="31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3.25" x14ac:dyDescent="0.35">
      <c r="A270" s="149"/>
      <c r="B270" s="146"/>
      <c r="C270" s="146"/>
      <c r="D270" s="27">
        <v>46096</v>
      </c>
      <c r="E270" s="28" t="s">
        <v>294</v>
      </c>
      <c r="F270" s="29"/>
      <c r="G270" s="29"/>
      <c r="H270" s="29"/>
      <c r="I270" s="29"/>
      <c r="J270" s="30">
        <f t="shared" si="63"/>
        <v>0</v>
      </c>
      <c r="K270" s="28"/>
      <c r="L270" s="31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3.25" x14ac:dyDescent="0.35">
      <c r="A271" s="149"/>
      <c r="B271" s="146"/>
      <c r="C271" s="146"/>
      <c r="D271" s="27">
        <v>46097</v>
      </c>
      <c r="E271" s="28" t="s">
        <v>295</v>
      </c>
      <c r="F271" s="29">
        <v>0.29166666666666669</v>
      </c>
      <c r="G271" s="29">
        <v>0.54166666666666663</v>
      </c>
      <c r="H271" s="29">
        <v>0.58333333333333337</v>
      </c>
      <c r="I271" s="29">
        <v>0.79166666666666663</v>
      </c>
      <c r="J271" s="30">
        <f t="shared" si="63"/>
        <v>10.999999999999996</v>
      </c>
      <c r="K271" s="30">
        <f t="shared" ref="K271:K273" si="65">J271-8</f>
        <v>2.9999999999999964</v>
      </c>
      <c r="L271" s="31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3.25" x14ac:dyDescent="0.35">
      <c r="A272" s="149"/>
      <c r="B272" s="146"/>
      <c r="C272" s="146"/>
      <c r="D272" s="27">
        <v>46098</v>
      </c>
      <c r="E272" s="28" t="s">
        <v>296</v>
      </c>
      <c r="F272" s="29">
        <v>0.29166666666666669</v>
      </c>
      <c r="G272" s="29">
        <v>0.54166666666666663</v>
      </c>
      <c r="H272" s="29">
        <v>0.58333333333333337</v>
      </c>
      <c r="I272" s="29">
        <v>0.75</v>
      </c>
      <c r="J272" s="30">
        <f t="shared" si="63"/>
        <v>9.9999999999999982</v>
      </c>
      <c r="K272" s="30">
        <f t="shared" si="65"/>
        <v>1.9999999999999982</v>
      </c>
      <c r="L272" s="31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3.25" x14ac:dyDescent="0.35">
      <c r="A273" s="149"/>
      <c r="B273" s="146"/>
      <c r="C273" s="146"/>
      <c r="D273" s="27">
        <v>46099</v>
      </c>
      <c r="E273" s="28" t="s">
        <v>297</v>
      </c>
      <c r="F273" s="29">
        <v>0.29166666666666669</v>
      </c>
      <c r="G273" s="29">
        <v>0.54166666666666663</v>
      </c>
      <c r="H273" s="29">
        <v>0.58333333333333337</v>
      </c>
      <c r="I273" s="29">
        <v>0.8125</v>
      </c>
      <c r="J273" s="30">
        <f t="shared" si="63"/>
        <v>11.499999999999998</v>
      </c>
      <c r="K273" s="32">
        <f t="shared" si="65"/>
        <v>3.4999999999999982</v>
      </c>
      <c r="L273" s="33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3.25" x14ac:dyDescent="0.35">
      <c r="A274" s="149"/>
      <c r="B274" s="146"/>
      <c r="C274" s="146"/>
      <c r="D274" s="27"/>
      <c r="E274" s="28"/>
      <c r="F274" s="28"/>
      <c r="G274" s="28"/>
      <c r="H274" s="26"/>
      <c r="I274" s="34" t="s">
        <v>298</v>
      </c>
      <c r="J274" s="35">
        <v>800</v>
      </c>
      <c r="K274" s="34"/>
      <c r="L274" s="3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3.25" x14ac:dyDescent="0.35">
      <c r="A275" s="149"/>
      <c r="B275" s="146"/>
      <c r="C275" s="146"/>
      <c r="D275" s="27"/>
      <c r="E275" s="28"/>
      <c r="F275" s="28"/>
      <c r="G275" s="28"/>
      <c r="H275" s="37"/>
      <c r="I275" s="34" t="s">
        <v>299</v>
      </c>
      <c r="J275" s="35">
        <f>J274*(COUNTIF(J267:J273, "&gt;0.00"))</f>
        <v>4800</v>
      </c>
      <c r="K275" s="35">
        <f>(J274/8)*(SUM(K267:K273))</f>
        <v>1458.3333333333319</v>
      </c>
      <c r="L275" s="36">
        <f>SUM(L267:L273)</f>
        <v>0</v>
      </c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3.25" x14ac:dyDescent="0.35">
      <c r="A276" s="150"/>
      <c r="B276" s="147"/>
      <c r="C276" s="147"/>
      <c r="D276" s="38"/>
      <c r="E276" s="39"/>
      <c r="F276" s="39"/>
      <c r="G276" s="39"/>
      <c r="H276" s="40"/>
      <c r="I276" s="41" t="s">
        <v>300</v>
      </c>
      <c r="J276" s="42">
        <f>SUM(J275:K275)-L275</f>
        <v>6258.3333333333321</v>
      </c>
      <c r="K276" s="34"/>
      <c r="L276" s="3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3.25" x14ac:dyDescent="0.35">
      <c r="A277" s="43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44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46.5" x14ac:dyDescent="0.35">
      <c r="A278" s="22" t="s">
        <v>93</v>
      </c>
      <c r="B278" s="23" t="s">
        <v>94</v>
      </c>
      <c r="C278" s="23" t="s">
        <v>1</v>
      </c>
      <c r="D278" s="24" t="s">
        <v>284</v>
      </c>
      <c r="E278" s="24" t="s">
        <v>285</v>
      </c>
      <c r="F278" s="24" t="s">
        <v>286</v>
      </c>
      <c r="G278" s="24" t="s">
        <v>287</v>
      </c>
      <c r="H278" s="24" t="s">
        <v>286</v>
      </c>
      <c r="I278" s="24" t="s">
        <v>287</v>
      </c>
      <c r="J278" s="24" t="s">
        <v>288</v>
      </c>
      <c r="K278" s="24" t="s">
        <v>234</v>
      </c>
      <c r="L278" s="25" t="s">
        <v>302</v>
      </c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3.25" x14ac:dyDescent="0.35">
      <c r="A279" s="148" t="s">
        <v>213</v>
      </c>
      <c r="B279" s="145" t="s">
        <v>115</v>
      </c>
      <c r="C279" s="145" t="s">
        <v>301</v>
      </c>
      <c r="D279" s="27">
        <v>46093</v>
      </c>
      <c r="E279" s="28" t="s">
        <v>291</v>
      </c>
      <c r="F279" s="29">
        <v>0.29166666666666669</v>
      </c>
      <c r="G279" s="29">
        <v>0.54166666666666663</v>
      </c>
      <c r="H279" s="29">
        <v>0.58333333333333337</v>
      </c>
      <c r="I279" s="29">
        <v>0.77777777777777779</v>
      </c>
      <c r="J279" s="30">
        <f t="shared" ref="J279:J285" si="66">(((I279-H279)+(G279-F279))*24)</f>
        <v>10.666666666666664</v>
      </c>
      <c r="K279" s="30">
        <f t="shared" ref="K279:K281" si="67">J279-8</f>
        <v>2.6666666666666643</v>
      </c>
      <c r="L279" s="31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3.25" x14ac:dyDescent="0.35">
      <c r="A280" s="149"/>
      <c r="B280" s="146"/>
      <c r="C280" s="146"/>
      <c r="D280" s="27">
        <v>46094</v>
      </c>
      <c r="E280" s="28" t="s">
        <v>292</v>
      </c>
      <c r="F280" s="29">
        <v>0.33333333333333331</v>
      </c>
      <c r="G280" s="29">
        <v>0.54166666666666663</v>
      </c>
      <c r="H280" s="29">
        <v>0.58333333333333337</v>
      </c>
      <c r="I280" s="29">
        <v>0.77777777777777779</v>
      </c>
      <c r="J280" s="30">
        <f t="shared" si="66"/>
        <v>9.6666666666666661</v>
      </c>
      <c r="K280" s="30">
        <f t="shared" si="67"/>
        <v>1.6666666666666661</v>
      </c>
      <c r="L280" s="31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3.25" x14ac:dyDescent="0.35">
      <c r="A281" s="149"/>
      <c r="B281" s="146"/>
      <c r="C281" s="146"/>
      <c r="D281" s="27">
        <v>46095</v>
      </c>
      <c r="E281" s="28" t="s">
        <v>293</v>
      </c>
      <c r="F281" s="29">
        <v>0.29166666666666669</v>
      </c>
      <c r="G281" s="29">
        <v>0.54166666666666663</v>
      </c>
      <c r="H281" s="29">
        <v>0.58333333333333337</v>
      </c>
      <c r="I281" s="29">
        <v>0.79166666666666663</v>
      </c>
      <c r="J281" s="30">
        <f t="shared" si="66"/>
        <v>10.999999999999996</v>
      </c>
      <c r="K281" s="30">
        <f t="shared" si="67"/>
        <v>2.9999999999999964</v>
      </c>
      <c r="L281" s="31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3.25" x14ac:dyDescent="0.35">
      <c r="A282" s="149"/>
      <c r="B282" s="146"/>
      <c r="C282" s="146"/>
      <c r="D282" s="27">
        <v>46096</v>
      </c>
      <c r="E282" s="28" t="s">
        <v>294</v>
      </c>
      <c r="F282" s="29"/>
      <c r="G282" s="29"/>
      <c r="H282" s="29"/>
      <c r="I282" s="29"/>
      <c r="J282" s="30">
        <f t="shared" si="66"/>
        <v>0</v>
      </c>
      <c r="K282" s="28"/>
      <c r="L282" s="31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3.25" x14ac:dyDescent="0.35">
      <c r="A283" s="149"/>
      <c r="B283" s="146"/>
      <c r="C283" s="146"/>
      <c r="D283" s="27">
        <v>46097</v>
      </c>
      <c r="E283" s="28" t="s">
        <v>295</v>
      </c>
      <c r="F283" s="29">
        <v>0.29166666666666669</v>
      </c>
      <c r="G283" s="29">
        <v>0.54166666666666663</v>
      </c>
      <c r="H283" s="29">
        <v>0.58333333333333337</v>
      </c>
      <c r="I283" s="29">
        <v>0.79166666666666663</v>
      </c>
      <c r="J283" s="30">
        <f t="shared" si="66"/>
        <v>10.999999999999996</v>
      </c>
      <c r="K283" s="30">
        <f t="shared" ref="K283:K285" si="68">J283-8</f>
        <v>2.9999999999999964</v>
      </c>
      <c r="L283" s="31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3.25" x14ac:dyDescent="0.35">
      <c r="A284" s="149"/>
      <c r="B284" s="146"/>
      <c r="C284" s="146"/>
      <c r="D284" s="27">
        <v>46098</v>
      </c>
      <c r="E284" s="28" t="s">
        <v>296</v>
      </c>
      <c r="F284" s="29">
        <v>0.29166666666666669</v>
      </c>
      <c r="G284" s="29">
        <v>0.54166666666666663</v>
      </c>
      <c r="H284" s="29">
        <v>0.58333333333333337</v>
      </c>
      <c r="I284" s="29">
        <v>0.76041666666666663</v>
      </c>
      <c r="J284" s="30">
        <f t="shared" si="66"/>
        <v>10.249999999999996</v>
      </c>
      <c r="K284" s="30">
        <f t="shared" si="68"/>
        <v>2.2499999999999964</v>
      </c>
      <c r="L284" s="31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3.25" x14ac:dyDescent="0.35">
      <c r="A285" s="149"/>
      <c r="B285" s="146"/>
      <c r="C285" s="146"/>
      <c r="D285" s="27">
        <v>46099</v>
      </c>
      <c r="E285" s="28" t="s">
        <v>297</v>
      </c>
      <c r="F285" s="29">
        <v>0.29166666666666669</v>
      </c>
      <c r="G285" s="29">
        <v>0.54166666666666663</v>
      </c>
      <c r="H285" s="29">
        <v>0.58333333333333337</v>
      </c>
      <c r="I285" s="29">
        <v>0.8125</v>
      </c>
      <c r="J285" s="30">
        <f t="shared" si="66"/>
        <v>11.499999999999998</v>
      </c>
      <c r="K285" s="32">
        <f t="shared" si="68"/>
        <v>3.4999999999999982</v>
      </c>
      <c r="L285" s="33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3.25" x14ac:dyDescent="0.35">
      <c r="A286" s="149"/>
      <c r="B286" s="146"/>
      <c r="C286" s="146"/>
      <c r="D286" s="27"/>
      <c r="E286" s="28"/>
      <c r="F286" s="28"/>
      <c r="G286" s="28"/>
      <c r="H286" s="26"/>
      <c r="I286" s="34" t="s">
        <v>298</v>
      </c>
      <c r="J286" s="35">
        <v>800</v>
      </c>
      <c r="K286" s="34"/>
      <c r="L286" s="3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3.25" x14ac:dyDescent="0.35">
      <c r="A287" s="149"/>
      <c r="B287" s="146"/>
      <c r="C287" s="146"/>
      <c r="D287" s="27"/>
      <c r="E287" s="28"/>
      <c r="F287" s="28"/>
      <c r="G287" s="28"/>
      <c r="H287" s="37"/>
      <c r="I287" s="34" t="s">
        <v>299</v>
      </c>
      <c r="J287" s="74">
        <f>J286*(COUNTIF(J279:J285, "&gt;0.00"))</f>
        <v>4800</v>
      </c>
      <c r="K287" s="74">
        <f>(J286/8)*(SUM(K279:K285))</f>
        <v>1608.3333333333319</v>
      </c>
      <c r="L287" s="75">
        <f>SUM(L279:L285)</f>
        <v>0</v>
      </c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3.25" x14ac:dyDescent="0.35">
      <c r="A288" s="150"/>
      <c r="B288" s="147"/>
      <c r="C288" s="147"/>
      <c r="D288" s="38"/>
      <c r="E288" s="39"/>
      <c r="F288" s="39"/>
      <c r="G288" s="39"/>
      <c r="H288" s="40"/>
      <c r="I288" s="41" t="s">
        <v>300</v>
      </c>
      <c r="J288" s="76">
        <f>SUM(J287:K287)-L287</f>
        <v>6408.3333333333321</v>
      </c>
      <c r="K288" s="77"/>
      <c r="L288" s="78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3.25" x14ac:dyDescent="0.35">
      <c r="A289" s="43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44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46.5" x14ac:dyDescent="0.35">
      <c r="A290" s="22" t="s">
        <v>93</v>
      </c>
      <c r="B290" s="23" t="s">
        <v>94</v>
      </c>
      <c r="C290" s="23" t="s">
        <v>1</v>
      </c>
      <c r="D290" s="24" t="s">
        <v>284</v>
      </c>
      <c r="E290" s="24" t="s">
        <v>285</v>
      </c>
      <c r="F290" s="24" t="s">
        <v>286</v>
      </c>
      <c r="G290" s="24" t="s">
        <v>287</v>
      </c>
      <c r="H290" s="24" t="s">
        <v>286</v>
      </c>
      <c r="I290" s="24" t="s">
        <v>287</v>
      </c>
      <c r="J290" s="24" t="s">
        <v>288</v>
      </c>
      <c r="K290" s="24" t="s">
        <v>234</v>
      </c>
      <c r="L290" s="25" t="s">
        <v>302</v>
      </c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3.25" x14ac:dyDescent="0.35">
      <c r="A291" s="148" t="s">
        <v>215</v>
      </c>
      <c r="B291" s="145" t="s">
        <v>116</v>
      </c>
      <c r="C291" s="145" t="s">
        <v>301</v>
      </c>
      <c r="D291" s="27">
        <v>46093</v>
      </c>
      <c r="E291" s="28" t="s">
        <v>291</v>
      </c>
      <c r="F291" s="29">
        <v>0.29166666666666669</v>
      </c>
      <c r="G291" s="29">
        <v>0.54166666666666663</v>
      </c>
      <c r="H291" s="29">
        <v>0.58333333333333337</v>
      </c>
      <c r="I291" s="29">
        <v>0.75</v>
      </c>
      <c r="J291" s="30">
        <f t="shared" ref="J291:J297" si="69">(((I291-H291)+(G291-F291))*24)</f>
        <v>9.9999999999999982</v>
      </c>
      <c r="K291" s="30">
        <f t="shared" ref="K291:K293" si="70">J291-8</f>
        <v>1.9999999999999982</v>
      </c>
      <c r="L291" s="31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3.25" x14ac:dyDescent="0.35">
      <c r="A292" s="149"/>
      <c r="B292" s="146"/>
      <c r="C292" s="146"/>
      <c r="D292" s="27">
        <v>46094</v>
      </c>
      <c r="E292" s="28" t="s">
        <v>292</v>
      </c>
      <c r="F292" s="29">
        <v>0.29166666666666669</v>
      </c>
      <c r="G292" s="29">
        <v>0.54166666666666663</v>
      </c>
      <c r="H292" s="29">
        <v>0.58333333333333337</v>
      </c>
      <c r="I292" s="29">
        <v>0.75</v>
      </c>
      <c r="J292" s="30">
        <f t="shared" si="69"/>
        <v>9.9999999999999982</v>
      </c>
      <c r="K292" s="30">
        <f t="shared" si="70"/>
        <v>1.9999999999999982</v>
      </c>
      <c r="L292" s="31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3.25" x14ac:dyDescent="0.35">
      <c r="A293" s="149"/>
      <c r="B293" s="146"/>
      <c r="C293" s="146"/>
      <c r="D293" s="27">
        <v>46095</v>
      </c>
      <c r="E293" s="28" t="s">
        <v>293</v>
      </c>
      <c r="F293" s="29">
        <v>0.29166666666666669</v>
      </c>
      <c r="G293" s="29">
        <v>0.54166666666666663</v>
      </c>
      <c r="H293" s="29">
        <v>0.58333333333333337</v>
      </c>
      <c r="I293" s="29">
        <v>0.77083333333333337</v>
      </c>
      <c r="J293" s="30">
        <f t="shared" si="69"/>
        <v>10.499999999999998</v>
      </c>
      <c r="K293" s="30">
        <f t="shared" si="70"/>
        <v>2.4999999999999982</v>
      </c>
      <c r="L293" s="31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3.25" x14ac:dyDescent="0.35">
      <c r="A294" s="149"/>
      <c r="B294" s="146"/>
      <c r="C294" s="146"/>
      <c r="D294" s="27">
        <v>46096</v>
      </c>
      <c r="E294" s="28" t="s">
        <v>294</v>
      </c>
      <c r="F294" s="29"/>
      <c r="G294" s="29"/>
      <c r="H294" s="29"/>
      <c r="I294" s="29"/>
      <c r="J294" s="30">
        <f t="shared" si="69"/>
        <v>0</v>
      </c>
      <c r="K294" s="28"/>
      <c r="L294" s="31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3.25" x14ac:dyDescent="0.35">
      <c r="A295" s="149"/>
      <c r="B295" s="146"/>
      <c r="C295" s="146"/>
      <c r="D295" s="27">
        <v>46097</v>
      </c>
      <c r="E295" s="28" t="s">
        <v>295</v>
      </c>
      <c r="F295" s="29">
        <v>0.29166666666666669</v>
      </c>
      <c r="G295" s="29">
        <v>0.54166666666666663</v>
      </c>
      <c r="H295" s="29">
        <v>0.58333333333333337</v>
      </c>
      <c r="I295" s="29">
        <v>0.79166666666666663</v>
      </c>
      <c r="J295" s="30">
        <f t="shared" si="69"/>
        <v>10.999999999999996</v>
      </c>
      <c r="K295" s="30">
        <f t="shared" ref="K295:K297" si="71">J295-8</f>
        <v>2.9999999999999964</v>
      </c>
      <c r="L295" s="31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3.25" x14ac:dyDescent="0.35">
      <c r="A296" s="149"/>
      <c r="B296" s="146"/>
      <c r="C296" s="146"/>
      <c r="D296" s="27">
        <v>46098</v>
      </c>
      <c r="E296" s="28" t="s">
        <v>296</v>
      </c>
      <c r="F296" s="29">
        <v>0.29166666666666669</v>
      </c>
      <c r="G296" s="29">
        <v>0.54166666666666663</v>
      </c>
      <c r="H296" s="29">
        <v>0.58333333333333337</v>
      </c>
      <c r="I296" s="29">
        <v>0.75</v>
      </c>
      <c r="J296" s="30">
        <f t="shared" si="69"/>
        <v>9.9999999999999982</v>
      </c>
      <c r="K296" s="30">
        <f t="shared" si="71"/>
        <v>1.9999999999999982</v>
      </c>
      <c r="L296" s="31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3.25" x14ac:dyDescent="0.35">
      <c r="A297" s="149"/>
      <c r="B297" s="146"/>
      <c r="C297" s="146"/>
      <c r="D297" s="27">
        <v>46099</v>
      </c>
      <c r="E297" s="28" t="s">
        <v>297</v>
      </c>
      <c r="F297" s="29">
        <v>0.29166666666666669</v>
      </c>
      <c r="G297" s="29">
        <v>0.54166666666666663</v>
      </c>
      <c r="H297" s="29">
        <v>0.58333333333333337</v>
      </c>
      <c r="I297" s="29">
        <v>0.8125</v>
      </c>
      <c r="J297" s="30">
        <f t="shared" si="69"/>
        <v>11.499999999999998</v>
      </c>
      <c r="K297" s="32">
        <f t="shared" si="71"/>
        <v>3.4999999999999982</v>
      </c>
      <c r="L297" s="33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3.25" x14ac:dyDescent="0.35">
      <c r="A298" s="149"/>
      <c r="B298" s="146"/>
      <c r="C298" s="146"/>
      <c r="D298" s="27"/>
      <c r="E298" s="28"/>
      <c r="F298" s="28"/>
      <c r="G298" s="28"/>
      <c r="H298" s="26"/>
      <c r="I298" s="34" t="s">
        <v>298</v>
      </c>
      <c r="J298" s="35">
        <v>880</v>
      </c>
      <c r="K298" s="34"/>
      <c r="L298" s="3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3.25" x14ac:dyDescent="0.35">
      <c r="A299" s="149"/>
      <c r="B299" s="146"/>
      <c r="C299" s="146"/>
      <c r="D299" s="27"/>
      <c r="E299" s="28"/>
      <c r="F299" s="28"/>
      <c r="G299" s="28"/>
      <c r="H299" s="37"/>
      <c r="I299" s="34" t="s">
        <v>299</v>
      </c>
      <c r="J299" s="74">
        <f>J298*(COUNTIF(J291:J297, "&gt;0.00"))</f>
        <v>5280</v>
      </c>
      <c r="K299" s="74">
        <f>(J298/8)*(SUM(K291:K297))</f>
        <v>1649.9999999999986</v>
      </c>
      <c r="L299" s="75">
        <f>SUM(L291:L297)</f>
        <v>0</v>
      </c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3.25" x14ac:dyDescent="0.35">
      <c r="A300" s="150"/>
      <c r="B300" s="147"/>
      <c r="C300" s="147"/>
      <c r="D300" s="38"/>
      <c r="E300" s="39"/>
      <c r="F300" s="39"/>
      <c r="G300" s="39"/>
      <c r="H300" s="40"/>
      <c r="I300" s="41" t="s">
        <v>300</v>
      </c>
      <c r="J300" s="76">
        <f>SUM(J299:K299)-L299</f>
        <v>6929.9999999999982</v>
      </c>
      <c r="K300" s="77"/>
      <c r="L300" s="78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3.25" x14ac:dyDescent="0.35">
      <c r="A301" s="43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44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46.5" x14ac:dyDescent="0.35">
      <c r="A302" s="22" t="s">
        <v>93</v>
      </c>
      <c r="B302" s="23" t="s">
        <v>94</v>
      </c>
      <c r="C302" s="23" t="s">
        <v>1</v>
      </c>
      <c r="D302" s="24" t="s">
        <v>284</v>
      </c>
      <c r="E302" s="24" t="s">
        <v>285</v>
      </c>
      <c r="F302" s="24" t="s">
        <v>286</v>
      </c>
      <c r="G302" s="24" t="s">
        <v>287</v>
      </c>
      <c r="H302" s="24" t="s">
        <v>286</v>
      </c>
      <c r="I302" s="24" t="s">
        <v>287</v>
      </c>
      <c r="J302" s="24" t="s">
        <v>288</v>
      </c>
      <c r="K302" s="24" t="s">
        <v>234</v>
      </c>
      <c r="L302" s="25" t="s">
        <v>302</v>
      </c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3.25" x14ac:dyDescent="0.35">
      <c r="A303" s="148" t="s">
        <v>217</v>
      </c>
      <c r="B303" s="145" t="s">
        <v>117</v>
      </c>
      <c r="C303" s="145" t="s">
        <v>301</v>
      </c>
      <c r="D303" s="27">
        <v>46093</v>
      </c>
      <c r="E303" s="28" t="s">
        <v>291</v>
      </c>
      <c r="F303" s="29">
        <v>0.29166666666666669</v>
      </c>
      <c r="G303" s="29">
        <v>0.54166666666666663</v>
      </c>
      <c r="H303" s="29">
        <v>0.58333333333333337</v>
      </c>
      <c r="I303" s="29">
        <v>0.75</v>
      </c>
      <c r="J303" s="30">
        <f t="shared" ref="J303:J309" si="72">(((I303-H303)+(G303-F303))*24)</f>
        <v>9.9999999999999982</v>
      </c>
      <c r="K303" s="30">
        <f t="shared" ref="K303:K305" si="73">J303-8</f>
        <v>1.9999999999999982</v>
      </c>
      <c r="L303" s="31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3.25" x14ac:dyDescent="0.35">
      <c r="A304" s="149"/>
      <c r="B304" s="146"/>
      <c r="C304" s="146"/>
      <c r="D304" s="27">
        <v>46094</v>
      </c>
      <c r="E304" s="28" t="s">
        <v>292</v>
      </c>
      <c r="F304" s="29">
        <v>0.33333333333333331</v>
      </c>
      <c r="G304" s="29">
        <v>0.54166666666666663</v>
      </c>
      <c r="H304" s="29">
        <v>0.58333333333333337</v>
      </c>
      <c r="I304" s="29">
        <v>0.75</v>
      </c>
      <c r="J304" s="30">
        <f t="shared" si="72"/>
        <v>8.9999999999999982</v>
      </c>
      <c r="K304" s="30">
        <f t="shared" si="73"/>
        <v>0.99999999999999822</v>
      </c>
      <c r="L304" s="31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3.25" x14ac:dyDescent="0.35">
      <c r="A305" s="149"/>
      <c r="B305" s="146"/>
      <c r="C305" s="146"/>
      <c r="D305" s="27">
        <v>46095</v>
      </c>
      <c r="E305" s="28" t="s">
        <v>293</v>
      </c>
      <c r="F305" s="29">
        <v>0.29166666666666669</v>
      </c>
      <c r="G305" s="29">
        <v>0.54166666666666663</v>
      </c>
      <c r="H305" s="29">
        <v>0.58333333333333337</v>
      </c>
      <c r="I305" s="29">
        <v>0.77083333333333337</v>
      </c>
      <c r="J305" s="30">
        <f t="shared" si="72"/>
        <v>10.499999999999998</v>
      </c>
      <c r="K305" s="30">
        <f t="shared" si="73"/>
        <v>2.4999999999999982</v>
      </c>
      <c r="L305" s="31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3.25" x14ac:dyDescent="0.35">
      <c r="A306" s="149"/>
      <c r="B306" s="146"/>
      <c r="C306" s="146"/>
      <c r="D306" s="27">
        <v>46096</v>
      </c>
      <c r="E306" s="28" t="s">
        <v>294</v>
      </c>
      <c r="F306" s="29"/>
      <c r="G306" s="29"/>
      <c r="H306" s="29"/>
      <c r="I306" s="29"/>
      <c r="J306" s="30">
        <f t="shared" si="72"/>
        <v>0</v>
      </c>
      <c r="K306" s="28"/>
      <c r="L306" s="31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3.25" x14ac:dyDescent="0.35">
      <c r="A307" s="149"/>
      <c r="B307" s="146"/>
      <c r="C307" s="146"/>
      <c r="D307" s="27">
        <v>46097</v>
      </c>
      <c r="E307" s="28" t="s">
        <v>295</v>
      </c>
      <c r="F307" s="29">
        <v>0.29166666666666669</v>
      </c>
      <c r="G307" s="29">
        <v>0.54166666666666663</v>
      </c>
      <c r="H307" s="29">
        <v>0.58333333333333337</v>
      </c>
      <c r="I307" s="29">
        <v>0.79166666666666663</v>
      </c>
      <c r="J307" s="30">
        <f t="shared" si="72"/>
        <v>10.999999999999996</v>
      </c>
      <c r="K307" s="30">
        <f t="shared" ref="K307:K309" si="74">J307-8</f>
        <v>2.9999999999999964</v>
      </c>
      <c r="L307" s="31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3.25" x14ac:dyDescent="0.35">
      <c r="A308" s="149"/>
      <c r="B308" s="146"/>
      <c r="C308" s="146"/>
      <c r="D308" s="27">
        <v>46098</v>
      </c>
      <c r="E308" s="28" t="s">
        <v>296</v>
      </c>
      <c r="F308" s="29">
        <v>0.29166666666666669</v>
      </c>
      <c r="G308" s="29">
        <v>0.54166666666666663</v>
      </c>
      <c r="H308" s="29">
        <v>0.58333333333333337</v>
      </c>
      <c r="I308" s="29">
        <v>0.75</v>
      </c>
      <c r="J308" s="30">
        <f t="shared" si="72"/>
        <v>9.9999999999999982</v>
      </c>
      <c r="K308" s="30">
        <f t="shared" si="74"/>
        <v>1.9999999999999982</v>
      </c>
      <c r="L308" s="31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3.25" x14ac:dyDescent="0.35">
      <c r="A309" s="149"/>
      <c r="B309" s="146"/>
      <c r="C309" s="146"/>
      <c r="D309" s="27">
        <v>46099</v>
      </c>
      <c r="E309" s="28" t="s">
        <v>297</v>
      </c>
      <c r="F309" s="29">
        <v>0.29166666666666669</v>
      </c>
      <c r="G309" s="29">
        <v>0.54166666666666663</v>
      </c>
      <c r="H309" s="29">
        <v>0.58333333333333337</v>
      </c>
      <c r="I309" s="29">
        <v>0.8125</v>
      </c>
      <c r="J309" s="30">
        <f t="shared" si="72"/>
        <v>11.499999999999998</v>
      </c>
      <c r="K309" s="32">
        <f t="shared" si="74"/>
        <v>3.4999999999999982</v>
      </c>
      <c r="L309" s="33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3.25" x14ac:dyDescent="0.35">
      <c r="A310" s="149"/>
      <c r="B310" s="146"/>
      <c r="C310" s="146"/>
      <c r="D310" s="27"/>
      <c r="E310" s="28"/>
      <c r="F310" s="28"/>
      <c r="G310" s="28"/>
      <c r="H310" s="26"/>
      <c r="I310" s="34" t="s">
        <v>298</v>
      </c>
      <c r="J310" s="35">
        <v>800</v>
      </c>
      <c r="K310" s="34"/>
      <c r="L310" s="3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3.25" x14ac:dyDescent="0.35">
      <c r="A311" s="149"/>
      <c r="B311" s="146"/>
      <c r="C311" s="146"/>
      <c r="D311" s="27"/>
      <c r="E311" s="28"/>
      <c r="F311" s="28"/>
      <c r="G311" s="28"/>
      <c r="H311" s="37"/>
      <c r="I311" s="34" t="s">
        <v>299</v>
      </c>
      <c r="J311" s="74">
        <f>J310*(COUNTIF(J303:J309, "&gt;0.00"))</f>
        <v>4800</v>
      </c>
      <c r="K311" s="74">
        <f>(J310/8)*(SUM(K303:K309))</f>
        <v>1399.9999999999989</v>
      </c>
      <c r="L311" s="75">
        <f>SUM(L303:L309)</f>
        <v>0</v>
      </c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3.25" x14ac:dyDescent="0.35">
      <c r="A312" s="150"/>
      <c r="B312" s="147"/>
      <c r="C312" s="147"/>
      <c r="D312" s="38"/>
      <c r="E312" s="39"/>
      <c r="F312" s="39"/>
      <c r="G312" s="39"/>
      <c r="H312" s="40"/>
      <c r="I312" s="41" t="s">
        <v>300</v>
      </c>
      <c r="J312" s="76">
        <f>SUM(J311:K311)-L311</f>
        <v>6199.9999999999991</v>
      </c>
      <c r="K312" s="77"/>
      <c r="L312" s="78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3.25" x14ac:dyDescent="0.35">
      <c r="A313" s="43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44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46.5" x14ac:dyDescent="0.35">
      <c r="A314" s="22" t="s">
        <v>93</v>
      </c>
      <c r="B314" s="23" t="s">
        <v>94</v>
      </c>
      <c r="C314" s="23" t="s">
        <v>1</v>
      </c>
      <c r="D314" s="24" t="s">
        <v>284</v>
      </c>
      <c r="E314" s="24" t="s">
        <v>285</v>
      </c>
      <c r="F314" s="24" t="s">
        <v>286</v>
      </c>
      <c r="G314" s="24" t="s">
        <v>287</v>
      </c>
      <c r="H314" s="24" t="s">
        <v>286</v>
      </c>
      <c r="I314" s="24" t="s">
        <v>287</v>
      </c>
      <c r="J314" s="24" t="s">
        <v>288</v>
      </c>
      <c r="K314" s="24" t="s">
        <v>234</v>
      </c>
      <c r="L314" s="25" t="s">
        <v>302</v>
      </c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3.25" x14ac:dyDescent="0.35">
      <c r="A315" s="148" t="s">
        <v>219</v>
      </c>
      <c r="B315" s="145" t="s">
        <v>118</v>
      </c>
      <c r="C315" s="145" t="s">
        <v>16</v>
      </c>
      <c r="D315" s="27">
        <v>46093</v>
      </c>
      <c r="E315" s="28" t="s">
        <v>291</v>
      </c>
      <c r="F315" s="29">
        <v>0.29166666666666669</v>
      </c>
      <c r="G315" s="29">
        <v>0.54166666666666663</v>
      </c>
      <c r="H315" s="29">
        <v>0.58333333333333337</v>
      </c>
      <c r="I315" s="29">
        <v>0.75</v>
      </c>
      <c r="J315" s="30">
        <f t="shared" ref="J315:J321" si="75">(((I315-H315)+(G315-F315))*24)</f>
        <v>9.9999999999999982</v>
      </c>
      <c r="K315" s="30">
        <f t="shared" ref="K315:K317" si="76">J315-8</f>
        <v>1.9999999999999982</v>
      </c>
      <c r="L315" s="31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3.25" x14ac:dyDescent="0.35">
      <c r="A316" s="149"/>
      <c r="B316" s="146"/>
      <c r="C316" s="146"/>
      <c r="D316" s="27">
        <v>46094</v>
      </c>
      <c r="E316" s="28" t="s">
        <v>292</v>
      </c>
      <c r="F316" s="29">
        <v>0.3298611111111111</v>
      </c>
      <c r="G316" s="29">
        <v>0.54166666666666663</v>
      </c>
      <c r="H316" s="29">
        <v>0.58333333333333337</v>
      </c>
      <c r="I316" s="29">
        <v>0.72916666666666663</v>
      </c>
      <c r="J316" s="30">
        <f t="shared" si="75"/>
        <v>8.5833333333333304</v>
      </c>
      <c r="K316" s="30">
        <f t="shared" si="76"/>
        <v>0.58333333333333037</v>
      </c>
      <c r="L316" s="31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3.25" x14ac:dyDescent="0.35">
      <c r="A317" s="149"/>
      <c r="B317" s="146"/>
      <c r="C317" s="146"/>
      <c r="D317" s="27">
        <v>46095</v>
      </c>
      <c r="E317" s="28" t="s">
        <v>293</v>
      </c>
      <c r="F317" s="29">
        <v>0.2986111111111111</v>
      </c>
      <c r="G317" s="29">
        <v>0.54166666666666663</v>
      </c>
      <c r="H317" s="29">
        <v>0.58333333333333337</v>
      </c>
      <c r="I317" s="29">
        <v>0.79166666666666663</v>
      </c>
      <c r="J317" s="30">
        <f t="shared" si="75"/>
        <v>10.83333333333333</v>
      </c>
      <c r="K317" s="30">
        <f t="shared" si="76"/>
        <v>2.8333333333333304</v>
      </c>
      <c r="L317" s="31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3.25" x14ac:dyDescent="0.35">
      <c r="A318" s="149"/>
      <c r="B318" s="146"/>
      <c r="C318" s="146"/>
      <c r="D318" s="27">
        <v>46096</v>
      </c>
      <c r="E318" s="28" t="s">
        <v>294</v>
      </c>
      <c r="F318" s="29"/>
      <c r="G318" s="29"/>
      <c r="H318" s="29"/>
      <c r="I318" s="29"/>
      <c r="J318" s="30">
        <f t="shared" si="75"/>
        <v>0</v>
      </c>
      <c r="K318" s="28"/>
      <c r="L318" s="31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3.25" x14ac:dyDescent="0.35">
      <c r="A319" s="149"/>
      <c r="B319" s="146"/>
      <c r="C319" s="146"/>
      <c r="D319" s="27">
        <v>46097</v>
      </c>
      <c r="E319" s="28" t="s">
        <v>295</v>
      </c>
      <c r="F319" s="29">
        <v>0.29166666666666669</v>
      </c>
      <c r="G319" s="29">
        <v>0.54166666666666663</v>
      </c>
      <c r="H319" s="29">
        <v>0.58333333333333337</v>
      </c>
      <c r="I319" s="131">
        <v>0.79861111111111116</v>
      </c>
      <c r="J319" s="30">
        <f t="shared" si="75"/>
        <v>11.166666666666666</v>
      </c>
      <c r="K319" s="30">
        <f t="shared" ref="K319:K321" si="77">J319-8</f>
        <v>3.1666666666666661</v>
      </c>
      <c r="L319" s="31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3.25" x14ac:dyDescent="0.35">
      <c r="A320" s="149"/>
      <c r="B320" s="146"/>
      <c r="C320" s="146"/>
      <c r="D320" s="27">
        <v>46098</v>
      </c>
      <c r="E320" s="28" t="s">
        <v>296</v>
      </c>
      <c r="F320" s="29">
        <v>0.29166666666666669</v>
      </c>
      <c r="G320" s="29">
        <v>0.54166666666666663</v>
      </c>
      <c r="H320" s="29">
        <v>0.58333333333333337</v>
      </c>
      <c r="I320" s="29">
        <v>0.75</v>
      </c>
      <c r="J320" s="30">
        <f t="shared" si="75"/>
        <v>9.9999999999999982</v>
      </c>
      <c r="K320" s="30">
        <f t="shared" si="77"/>
        <v>1.9999999999999982</v>
      </c>
      <c r="L320" s="31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3.25" x14ac:dyDescent="0.35">
      <c r="A321" s="149"/>
      <c r="B321" s="146"/>
      <c r="C321" s="146"/>
      <c r="D321" s="27">
        <v>46099</v>
      </c>
      <c r="E321" s="28" t="s">
        <v>297</v>
      </c>
      <c r="F321" s="29">
        <v>0.29166666666666669</v>
      </c>
      <c r="G321" s="29">
        <v>0.54166666666666663</v>
      </c>
      <c r="H321" s="29">
        <v>0.58333333333333337</v>
      </c>
      <c r="I321" s="29">
        <v>0.8125</v>
      </c>
      <c r="J321" s="30">
        <f t="shared" si="75"/>
        <v>11.499999999999998</v>
      </c>
      <c r="K321" s="32">
        <f t="shared" si="77"/>
        <v>3.4999999999999982</v>
      </c>
      <c r="L321" s="33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3.25" x14ac:dyDescent="0.35">
      <c r="A322" s="149"/>
      <c r="B322" s="146"/>
      <c r="C322" s="146"/>
      <c r="D322" s="27"/>
      <c r="E322" s="28"/>
      <c r="F322" s="28"/>
      <c r="G322" s="28"/>
      <c r="H322" s="26"/>
      <c r="I322" s="34" t="s">
        <v>298</v>
      </c>
      <c r="J322" s="35">
        <v>1000</v>
      </c>
      <c r="K322" s="34"/>
      <c r="L322" s="3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3.25" x14ac:dyDescent="0.35">
      <c r="A323" s="149"/>
      <c r="B323" s="146"/>
      <c r="C323" s="146"/>
      <c r="D323" s="27"/>
      <c r="E323" s="28"/>
      <c r="F323" s="28"/>
      <c r="G323" s="28"/>
      <c r="H323" s="37"/>
      <c r="I323" s="34" t="s">
        <v>299</v>
      </c>
      <c r="J323" s="74">
        <f>J322*(COUNTIF(J315:J321, "&gt;0.00"))</f>
        <v>6000</v>
      </c>
      <c r="K323" s="74">
        <f>(J322/8)*(SUM(K315:K321))</f>
        <v>1760.4166666666652</v>
      </c>
      <c r="L323" s="75">
        <f>SUM(L315:L321)</f>
        <v>0</v>
      </c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3.25" x14ac:dyDescent="0.35">
      <c r="A324" s="150"/>
      <c r="B324" s="147"/>
      <c r="C324" s="147"/>
      <c r="D324" s="38"/>
      <c r="E324" s="39"/>
      <c r="F324" s="39"/>
      <c r="G324" s="39"/>
      <c r="H324" s="40"/>
      <c r="I324" s="41" t="s">
        <v>300</v>
      </c>
      <c r="J324" s="76">
        <f>SUM(J323:K323)-L323</f>
        <v>7760.4166666666652</v>
      </c>
      <c r="K324" s="77"/>
      <c r="L324" s="78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3.25" x14ac:dyDescent="0.35">
      <c r="A325" s="43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44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46.5" x14ac:dyDescent="0.35">
      <c r="A326" s="22" t="s">
        <v>93</v>
      </c>
      <c r="B326" s="23" t="s">
        <v>94</v>
      </c>
      <c r="C326" s="23" t="s">
        <v>1</v>
      </c>
      <c r="D326" s="24" t="s">
        <v>284</v>
      </c>
      <c r="E326" s="24" t="s">
        <v>285</v>
      </c>
      <c r="F326" s="24" t="s">
        <v>286</v>
      </c>
      <c r="G326" s="24" t="s">
        <v>287</v>
      </c>
      <c r="H326" s="24" t="s">
        <v>286</v>
      </c>
      <c r="I326" s="24" t="s">
        <v>287</v>
      </c>
      <c r="J326" s="24" t="s">
        <v>288</v>
      </c>
      <c r="K326" s="24" t="s">
        <v>234</v>
      </c>
      <c r="L326" s="25" t="s">
        <v>302</v>
      </c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3.25" x14ac:dyDescent="0.35">
      <c r="A327" s="152" t="s">
        <v>221</v>
      </c>
      <c r="B327" s="151" t="s">
        <v>123</v>
      </c>
      <c r="C327" s="145" t="s">
        <v>8</v>
      </c>
      <c r="D327" s="27">
        <v>46093</v>
      </c>
      <c r="E327" s="28" t="s">
        <v>291</v>
      </c>
      <c r="F327" s="29">
        <v>0.33333333333333331</v>
      </c>
      <c r="G327" s="29">
        <v>0.54166666666666663</v>
      </c>
      <c r="H327" s="29">
        <v>0.58333333333333337</v>
      </c>
      <c r="I327" s="29">
        <v>0.85416666666666663</v>
      </c>
      <c r="J327" s="30">
        <f t="shared" ref="J327:J333" si="78">(((I327-H327)+(G327-F327))*24)</f>
        <v>11.499999999999998</v>
      </c>
      <c r="K327" s="30">
        <f t="shared" ref="K327:K329" si="79">J327-8</f>
        <v>3.4999999999999982</v>
      </c>
      <c r="L327" s="31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3.25" x14ac:dyDescent="0.35">
      <c r="A328" s="149"/>
      <c r="B328" s="146"/>
      <c r="C328" s="146"/>
      <c r="D328" s="27">
        <v>46094</v>
      </c>
      <c r="E328" s="28" t="s">
        <v>292</v>
      </c>
      <c r="F328" s="29">
        <v>0.33333333333333331</v>
      </c>
      <c r="G328" s="29">
        <v>0.54166666666666663</v>
      </c>
      <c r="H328" s="29">
        <v>0.58333333333333337</v>
      </c>
      <c r="I328" s="29">
        <v>0.75</v>
      </c>
      <c r="J328" s="30">
        <f t="shared" si="78"/>
        <v>8.9999999999999982</v>
      </c>
      <c r="K328" s="30">
        <f t="shared" si="79"/>
        <v>0.99999999999999822</v>
      </c>
      <c r="L328" s="31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3.25" x14ac:dyDescent="0.35">
      <c r="A329" s="149"/>
      <c r="B329" s="146"/>
      <c r="C329" s="146"/>
      <c r="D329" s="27">
        <v>46095</v>
      </c>
      <c r="E329" s="28" t="s">
        <v>293</v>
      </c>
      <c r="F329" s="29">
        <v>0.33333333333333331</v>
      </c>
      <c r="G329" s="29">
        <v>0.54166666666666663</v>
      </c>
      <c r="H329" s="29">
        <v>0.58333333333333337</v>
      </c>
      <c r="I329" s="29">
        <v>0.79166666666666663</v>
      </c>
      <c r="J329" s="30">
        <f t="shared" si="78"/>
        <v>9.9999999999999982</v>
      </c>
      <c r="K329" s="30">
        <f t="shared" si="79"/>
        <v>1.9999999999999982</v>
      </c>
      <c r="L329" s="31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3.25" x14ac:dyDescent="0.35">
      <c r="A330" s="149"/>
      <c r="B330" s="146"/>
      <c r="C330" s="146"/>
      <c r="D330" s="27">
        <v>46096</v>
      </c>
      <c r="E330" s="28" t="s">
        <v>294</v>
      </c>
      <c r="F330" s="29"/>
      <c r="G330" s="29"/>
      <c r="H330" s="29"/>
      <c r="I330" s="29"/>
      <c r="J330" s="30">
        <f t="shared" si="78"/>
        <v>0</v>
      </c>
      <c r="L330" s="31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3.25" x14ac:dyDescent="0.35">
      <c r="A331" s="149"/>
      <c r="B331" s="146"/>
      <c r="C331" s="146"/>
      <c r="D331" s="27">
        <v>46097</v>
      </c>
      <c r="E331" s="28" t="s">
        <v>295</v>
      </c>
      <c r="F331" s="29">
        <v>0.29166666666666669</v>
      </c>
      <c r="G331" s="29">
        <v>0.54166666666666663</v>
      </c>
      <c r="H331" s="29">
        <v>0.58333333333333337</v>
      </c>
      <c r="I331" s="29">
        <v>0.79166666666666663</v>
      </c>
      <c r="J331" s="30">
        <f t="shared" si="78"/>
        <v>10.999999999999996</v>
      </c>
      <c r="K331" s="32">
        <f t="shared" ref="K331:K333" si="80">J331-8</f>
        <v>2.9999999999999964</v>
      </c>
      <c r="L331" s="31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3.25" x14ac:dyDescent="0.35">
      <c r="A332" s="149"/>
      <c r="B332" s="146"/>
      <c r="C332" s="146"/>
      <c r="D332" s="27">
        <v>46098</v>
      </c>
      <c r="E332" s="28" t="s">
        <v>296</v>
      </c>
      <c r="F332" s="29">
        <v>0.29166666666666669</v>
      </c>
      <c r="G332" s="29">
        <v>0.54166666666666663</v>
      </c>
      <c r="H332" s="29">
        <v>0.58333333333333337</v>
      </c>
      <c r="I332" s="29">
        <v>0.75</v>
      </c>
      <c r="J332" s="30">
        <f t="shared" si="78"/>
        <v>9.9999999999999982</v>
      </c>
      <c r="K332" s="30">
        <f t="shared" si="80"/>
        <v>1.9999999999999982</v>
      </c>
      <c r="L332" s="31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3.25" x14ac:dyDescent="0.35">
      <c r="A333" s="149"/>
      <c r="B333" s="146"/>
      <c r="C333" s="146"/>
      <c r="D333" s="27">
        <v>46099</v>
      </c>
      <c r="E333" s="28" t="s">
        <v>297</v>
      </c>
      <c r="F333" s="29">
        <v>0.33333333333333331</v>
      </c>
      <c r="G333" s="29">
        <v>0.54166666666666663</v>
      </c>
      <c r="H333" s="29">
        <v>0.58333333333333337</v>
      </c>
      <c r="I333" s="29">
        <v>0.83333333333333337</v>
      </c>
      <c r="J333" s="30">
        <f t="shared" si="78"/>
        <v>11</v>
      </c>
      <c r="K333" s="32">
        <f t="shared" si="80"/>
        <v>3</v>
      </c>
      <c r="L333" s="33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3.25" x14ac:dyDescent="0.35">
      <c r="A334" s="149"/>
      <c r="B334" s="146"/>
      <c r="C334" s="146"/>
      <c r="D334" s="27"/>
      <c r="E334" s="28"/>
      <c r="F334" s="28"/>
      <c r="G334" s="28"/>
      <c r="H334" s="26"/>
      <c r="I334" s="34" t="s">
        <v>298</v>
      </c>
      <c r="J334" s="35">
        <v>1200</v>
      </c>
      <c r="K334" s="34"/>
      <c r="L334" s="3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3.25" x14ac:dyDescent="0.35">
      <c r="A335" s="149"/>
      <c r="B335" s="146"/>
      <c r="C335" s="146"/>
      <c r="D335" s="27"/>
      <c r="E335" s="28"/>
      <c r="F335" s="28"/>
      <c r="G335" s="28"/>
      <c r="H335" s="37"/>
      <c r="I335" s="34" t="s">
        <v>299</v>
      </c>
      <c r="J335" s="74">
        <f>J334*(COUNTIF(J327:J333, "&gt;0.00"))</f>
        <v>7200</v>
      </c>
      <c r="K335" s="74">
        <f>(J334/8)*(SUM(K327:K333))</f>
        <v>2174.9999999999982</v>
      </c>
      <c r="L335" s="75">
        <f>SUM(L327:L333)</f>
        <v>0</v>
      </c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3.25" x14ac:dyDescent="0.35">
      <c r="A336" s="150"/>
      <c r="B336" s="147"/>
      <c r="C336" s="147"/>
      <c r="D336" s="38"/>
      <c r="E336" s="39"/>
      <c r="F336" s="39"/>
      <c r="G336" s="39"/>
      <c r="H336" s="40"/>
      <c r="I336" s="41" t="s">
        <v>300</v>
      </c>
      <c r="J336" s="76">
        <f>SUM(J335:K335)-L335</f>
        <v>9374.9999999999982</v>
      </c>
      <c r="K336" s="77"/>
      <c r="L336" s="78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3.25" x14ac:dyDescent="0.35">
      <c r="A337" s="43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44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46.5" x14ac:dyDescent="0.35">
      <c r="A338" s="22" t="s">
        <v>93</v>
      </c>
      <c r="B338" s="23" t="s">
        <v>94</v>
      </c>
      <c r="C338" s="23" t="s">
        <v>1</v>
      </c>
      <c r="D338" s="24" t="s">
        <v>284</v>
      </c>
      <c r="E338" s="24" t="s">
        <v>285</v>
      </c>
      <c r="F338" s="24" t="s">
        <v>286</v>
      </c>
      <c r="G338" s="24" t="s">
        <v>287</v>
      </c>
      <c r="H338" s="24" t="s">
        <v>286</v>
      </c>
      <c r="I338" s="24" t="s">
        <v>287</v>
      </c>
      <c r="J338" s="24" t="s">
        <v>288</v>
      </c>
      <c r="K338" s="24" t="s">
        <v>234</v>
      </c>
      <c r="L338" s="25" t="s">
        <v>302</v>
      </c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3.25" x14ac:dyDescent="0.35">
      <c r="A339" s="152" t="s">
        <v>312</v>
      </c>
      <c r="B339" s="151" t="s">
        <v>124</v>
      </c>
      <c r="C339" s="145" t="s">
        <v>110</v>
      </c>
      <c r="D339" s="27">
        <v>46093</v>
      </c>
      <c r="E339" s="28" t="s">
        <v>291</v>
      </c>
      <c r="F339" s="29"/>
      <c r="G339" s="29"/>
      <c r="H339" s="29"/>
      <c r="I339" s="29"/>
      <c r="J339" s="30">
        <f t="shared" ref="J339:J345" si="81">(((I339-H339)+(G339-F339))*24)</f>
        <v>0</v>
      </c>
      <c r="K339" s="28"/>
      <c r="L339" s="31">
        <v>750</v>
      </c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3.25" x14ac:dyDescent="0.35">
      <c r="A340" s="149"/>
      <c r="B340" s="146"/>
      <c r="C340" s="146"/>
      <c r="D340" s="27">
        <v>46094</v>
      </c>
      <c r="E340" s="28" t="s">
        <v>292</v>
      </c>
      <c r="F340" s="29">
        <v>0.29166666666666669</v>
      </c>
      <c r="G340" s="29">
        <v>0.54166666666666663</v>
      </c>
      <c r="H340" s="29">
        <v>0.58333333333333337</v>
      </c>
      <c r="I340" s="29">
        <v>0.76041666666666663</v>
      </c>
      <c r="J340" s="30">
        <f t="shared" si="81"/>
        <v>10.249999999999996</v>
      </c>
      <c r="K340" s="30">
        <f t="shared" ref="K340:K341" si="82">J340-8</f>
        <v>2.2499999999999964</v>
      </c>
      <c r="L340" s="31">
        <v>500</v>
      </c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3.25" x14ac:dyDescent="0.35">
      <c r="A341" s="149"/>
      <c r="B341" s="146"/>
      <c r="C341" s="146"/>
      <c r="D341" s="27">
        <v>46095</v>
      </c>
      <c r="E341" s="28" t="s">
        <v>293</v>
      </c>
      <c r="F341" s="29">
        <v>0.29166666666666669</v>
      </c>
      <c r="G341" s="29">
        <v>0.54166666666666663</v>
      </c>
      <c r="H341" s="29">
        <v>0.58333333333333337</v>
      </c>
      <c r="I341" s="29">
        <v>0.75</v>
      </c>
      <c r="J341" s="30">
        <f t="shared" si="81"/>
        <v>9.9999999999999982</v>
      </c>
      <c r="K341" s="30">
        <f t="shared" si="82"/>
        <v>1.9999999999999982</v>
      </c>
      <c r="L341" s="31">
        <v>1000</v>
      </c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3.25" x14ac:dyDescent="0.35">
      <c r="A342" s="149"/>
      <c r="B342" s="146"/>
      <c r="C342" s="146"/>
      <c r="D342" s="27">
        <v>46096</v>
      </c>
      <c r="E342" s="28" t="s">
        <v>294</v>
      </c>
      <c r="F342" s="29"/>
      <c r="G342" s="29"/>
      <c r="H342" s="29"/>
      <c r="I342" s="29"/>
      <c r="J342" s="30">
        <f t="shared" si="81"/>
        <v>0</v>
      </c>
      <c r="L342" s="31">
        <v>1500</v>
      </c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3.25" x14ac:dyDescent="0.35">
      <c r="A343" s="149"/>
      <c r="B343" s="146"/>
      <c r="C343" s="146"/>
      <c r="D343" s="27">
        <v>46097</v>
      </c>
      <c r="E343" s="28" t="s">
        <v>295</v>
      </c>
      <c r="F343" s="29">
        <v>0.29166666666666669</v>
      </c>
      <c r="G343" s="29">
        <v>0.54166666666666663</v>
      </c>
      <c r="H343" s="29">
        <v>0.58333333333333337</v>
      </c>
      <c r="I343" s="29">
        <v>0.75</v>
      </c>
      <c r="J343" s="30">
        <f t="shared" si="81"/>
        <v>9.9999999999999982</v>
      </c>
      <c r="K343" s="32">
        <f t="shared" ref="K343:K345" si="83">J343-8</f>
        <v>1.9999999999999982</v>
      </c>
      <c r="L343" s="31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3.25" x14ac:dyDescent="0.35">
      <c r="A344" s="149"/>
      <c r="B344" s="146"/>
      <c r="C344" s="146"/>
      <c r="D344" s="27">
        <v>46098</v>
      </c>
      <c r="E344" s="28" t="s">
        <v>296</v>
      </c>
      <c r="F344" s="29">
        <v>0.29166666666666669</v>
      </c>
      <c r="G344" s="29">
        <v>0.54166666666666663</v>
      </c>
      <c r="H344" s="29">
        <v>0.58333333333333337</v>
      </c>
      <c r="I344" s="29">
        <v>0.75</v>
      </c>
      <c r="J344" s="30">
        <f t="shared" si="81"/>
        <v>9.9999999999999982</v>
      </c>
      <c r="K344" s="30">
        <f t="shared" si="83"/>
        <v>1.9999999999999982</v>
      </c>
      <c r="L344" s="31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3.25" x14ac:dyDescent="0.35">
      <c r="A345" s="149"/>
      <c r="B345" s="146"/>
      <c r="C345" s="146"/>
      <c r="D345" s="27">
        <v>46099</v>
      </c>
      <c r="E345" s="28" t="s">
        <v>297</v>
      </c>
      <c r="F345" s="29">
        <v>0.29166666666666669</v>
      </c>
      <c r="G345" s="29">
        <v>0.54166666666666663</v>
      </c>
      <c r="H345" s="29">
        <v>0.58333333333333337</v>
      </c>
      <c r="I345" s="29">
        <v>0.75</v>
      </c>
      <c r="J345" s="30">
        <f t="shared" si="81"/>
        <v>9.9999999999999982</v>
      </c>
      <c r="K345" s="32">
        <f t="shared" si="83"/>
        <v>1.9999999999999982</v>
      </c>
      <c r="L345" s="33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3.25" x14ac:dyDescent="0.35">
      <c r="A346" s="149"/>
      <c r="B346" s="146"/>
      <c r="C346" s="146"/>
      <c r="D346" s="27"/>
      <c r="E346" s="28"/>
      <c r="F346" s="28"/>
      <c r="G346" s="28"/>
      <c r="H346" s="26"/>
      <c r="I346" s="34" t="s">
        <v>298</v>
      </c>
      <c r="J346" s="35">
        <v>1200</v>
      </c>
      <c r="K346" s="34"/>
      <c r="L346" s="3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3.25" x14ac:dyDescent="0.35">
      <c r="A347" s="149"/>
      <c r="B347" s="146"/>
      <c r="C347" s="146"/>
      <c r="D347" s="27"/>
      <c r="E347" s="28"/>
      <c r="F347" s="28"/>
      <c r="G347" s="28"/>
      <c r="H347" s="37"/>
      <c r="I347" s="34" t="s">
        <v>299</v>
      </c>
      <c r="J347" s="35">
        <f>J346*(COUNTIF(J339:J345, "&gt;0.00"))</f>
        <v>6000</v>
      </c>
      <c r="K347" s="35">
        <f>(J346/8)*(SUM(K339:K345))</f>
        <v>1537.4999999999984</v>
      </c>
      <c r="L347" s="36">
        <f>SUM(L339:L345)</f>
        <v>3750</v>
      </c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3.25" x14ac:dyDescent="0.35">
      <c r="A348" s="150"/>
      <c r="B348" s="147"/>
      <c r="C348" s="147"/>
      <c r="D348" s="38"/>
      <c r="E348" s="39"/>
      <c r="F348" s="39"/>
      <c r="G348" s="39"/>
      <c r="H348" s="40"/>
      <c r="I348" s="41" t="s">
        <v>300</v>
      </c>
      <c r="J348" s="42">
        <f>SUM(J347:K347)-L347</f>
        <v>3787.4999999999982</v>
      </c>
      <c r="K348" s="34"/>
      <c r="L348" s="3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3.25" x14ac:dyDescent="0.35">
      <c r="A349" s="43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44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46.5" x14ac:dyDescent="0.35">
      <c r="A350" s="22" t="s">
        <v>93</v>
      </c>
      <c r="B350" s="23" t="s">
        <v>94</v>
      </c>
      <c r="C350" s="23" t="s">
        <v>1</v>
      </c>
      <c r="D350" s="24" t="s">
        <v>284</v>
      </c>
      <c r="E350" s="24" t="s">
        <v>285</v>
      </c>
      <c r="F350" s="24" t="s">
        <v>286</v>
      </c>
      <c r="G350" s="24" t="s">
        <v>287</v>
      </c>
      <c r="H350" s="24" t="s">
        <v>286</v>
      </c>
      <c r="I350" s="24" t="s">
        <v>287</v>
      </c>
      <c r="J350" s="24" t="s">
        <v>288</v>
      </c>
      <c r="K350" s="24" t="s">
        <v>234</v>
      </c>
      <c r="L350" s="25" t="s">
        <v>302</v>
      </c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3.25" x14ac:dyDescent="0.35">
      <c r="A351" s="152" t="s">
        <v>313</v>
      </c>
      <c r="B351" s="151" t="s">
        <v>125</v>
      </c>
      <c r="C351" s="145" t="s">
        <v>301</v>
      </c>
      <c r="D351" s="27">
        <v>46093</v>
      </c>
      <c r="E351" s="28" t="s">
        <v>291</v>
      </c>
      <c r="F351" s="29"/>
      <c r="G351" s="29"/>
      <c r="H351" s="29"/>
      <c r="I351" s="29"/>
      <c r="J351" s="30">
        <f t="shared" ref="J351:J357" si="84">(((I351-H351)+(G351-F351))*24)</f>
        <v>0</v>
      </c>
      <c r="K351" s="28"/>
      <c r="L351" s="31">
        <v>750</v>
      </c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3.25" x14ac:dyDescent="0.35">
      <c r="A352" s="149"/>
      <c r="B352" s="146"/>
      <c r="C352" s="146"/>
      <c r="D352" s="27">
        <v>46094</v>
      </c>
      <c r="E352" s="28" t="s">
        <v>292</v>
      </c>
      <c r="F352" s="29">
        <v>0.29166666666666669</v>
      </c>
      <c r="G352" s="29">
        <v>0.54166666666666663</v>
      </c>
      <c r="H352" s="29">
        <v>0.58333333333333337</v>
      </c>
      <c r="I352" s="29">
        <v>0.76041666666666663</v>
      </c>
      <c r="J352" s="30">
        <f t="shared" si="84"/>
        <v>10.249999999999996</v>
      </c>
      <c r="K352" s="30">
        <f t="shared" ref="K352:K353" si="85">J352-8</f>
        <v>2.2499999999999964</v>
      </c>
      <c r="L352" s="31">
        <v>500</v>
      </c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3.25" x14ac:dyDescent="0.35">
      <c r="A353" s="149"/>
      <c r="B353" s="146"/>
      <c r="C353" s="146"/>
      <c r="D353" s="27">
        <v>46095</v>
      </c>
      <c r="E353" s="28" t="s">
        <v>293</v>
      </c>
      <c r="F353" s="29">
        <v>0.29166666666666669</v>
      </c>
      <c r="G353" s="29">
        <v>0.54166666666666663</v>
      </c>
      <c r="H353" s="29">
        <v>0.58333333333333337</v>
      </c>
      <c r="I353" s="29">
        <v>0.75</v>
      </c>
      <c r="J353" s="30">
        <f t="shared" si="84"/>
        <v>9.9999999999999982</v>
      </c>
      <c r="K353" s="30">
        <f t="shared" si="85"/>
        <v>1.9999999999999982</v>
      </c>
      <c r="L353" s="31">
        <v>1000</v>
      </c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3.25" x14ac:dyDescent="0.35">
      <c r="A354" s="149"/>
      <c r="B354" s="146"/>
      <c r="C354" s="146"/>
      <c r="D354" s="27">
        <v>46096</v>
      </c>
      <c r="E354" s="28" t="s">
        <v>294</v>
      </c>
      <c r="F354" s="29"/>
      <c r="G354" s="29"/>
      <c r="H354" s="29"/>
      <c r="I354" s="29"/>
      <c r="J354" s="30">
        <f t="shared" si="84"/>
        <v>0</v>
      </c>
      <c r="L354" s="31">
        <v>1500</v>
      </c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3.25" x14ac:dyDescent="0.35">
      <c r="A355" s="149"/>
      <c r="B355" s="146"/>
      <c r="C355" s="146"/>
      <c r="D355" s="27">
        <v>46097</v>
      </c>
      <c r="E355" s="28" t="s">
        <v>295</v>
      </c>
      <c r="F355" s="29">
        <v>0.29166666666666669</v>
      </c>
      <c r="G355" s="29">
        <v>0.54166666666666663</v>
      </c>
      <c r="H355" s="29">
        <v>0.58333333333333337</v>
      </c>
      <c r="I355" s="29">
        <v>0.75</v>
      </c>
      <c r="J355" s="30">
        <f t="shared" si="84"/>
        <v>9.9999999999999982</v>
      </c>
      <c r="K355" s="32">
        <f t="shared" ref="K355:K357" si="86">J355-8</f>
        <v>1.9999999999999982</v>
      </c>
      <c r="L355" s="31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3.25" x14ac:dyDescent="0.35">
      <c r="A356" s="149"/>
      <c r="B356" s="146"/>
      <c r="C356" s="146"/>
      <c r="D356" s="27">
        <v>46098</v>
      </c>
      <c r="E356" s="28" t="s">
        <v>296</v>
      </c>
      <c r="F356" s="29">
        <v>0.29166666666666669</v>
      </c>
      <c r="G356" s="29">
        <v>0.54166666666666663</v>
      </c>
      <c r="H356" s="29">
        <v>0.58333333333333337</v>
      </c>
      <c r="I356" s="29">
        <v>0.75</v>
      </c>
      <c r="J356" s="30">
        <f t="shared" si="84"/>
        <v>9.9999999999999982</v>
      </c>
      <c r="K356" s="30">
        <f t="shared" si="86"/>
        <v>1.9999999999999982</v>
      </c>
      <c r="L356" s="31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3.25" x14ac:dyDescent="0.35">
      <c r="A357" s="149"/>
      <c r="B357" s="146"/>
      <c r="C357" s="146"/>
      <c r="D357" s="27">
        <v>46099</v>
      </c>
      <c r="E357" s="28" t="s">
        <v>297</v>
      </c>
      <c r="F357" s="29">
        <v>0.29166666666666669</v>
      </c>
      <c r="G357" s="29"/>
      <c r="H357" s="29"/>
      <c r="I357" s="29">
        <v>0.54166666666666663</v>
      </c>
      <c r="J357" s="30">
        <f t="shared" si="84"/>
        <v>5.9999999999999982</v>
      </c>
      <c r="K357" s="32">
        <f t="shared" si="86"/>
        <v>-2.0000000000000018</v>
      </c>
      <c r="L357" s="33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3.25" x14ac:dyDescent="0.35">
      <c r="A358" s="149"/>
      <c r="B358" s="146"/>
      <c r="C358" s="146"/>
      <c r="D358" s="27"/>
      <c r="E358" s="28"/>
      <c r="F358" s="28"/>
      <c r="G358" s="28"/>
      <c r="H358" s="26"/>
      <c r="I358" s="34" t="s">
        <v>298</v>
      </c>
      <c r="J358" s="35">
        <v>1000</v>
      </c>
      <c r="K358" s="34"/>
      <c r="L358" s="3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3.25" x14ac:dyDescent="0.35">
      <c r="A359" s="149"/>
      <c r="B359" s="146"/>
      <c r="C359" s="146"/>
      <c r="D359" s="27"/>
      <c r="E359" s="28"/>
      <c r="F359" s="28"/>
      <c r="G359" s="28"/>
      <c r="H359" s="37"/>
      <c r="I359" s="34" t="s">
        <v>299</v>
      </c>
      <c r="J359" s="35">
        <f>J358*(COUNTIF(J351:J357, "&gt;0.00"))</f>
        <v>5000</v>
      </c>
      <c r="K359" s="35">
        <f>(J358/8)*(SUM(K351:K357))</f>
        <v>781.24999999999864</v>
      </c>
      <c r="L359" s="36">
        <f>SUM(L351:L357)</f>
        <v>3750</v>
      </c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3.25" x14ac:dyDescent="0.35">
      <c r="A360" s="150"/>
      <c r="B360" s="147"/>
      <c r="C360" s="147"/>
      <c r="D360" s="38"/>
      <c r="E360" s="39"/>
      <c r="F360" s="39"/>
      <c r="G360" s="39"/>
      <c r="H360" s="40"/>
      <c r="I360" s="41" t="s">
        <v>300</v>
      </c>
      <c r="J360" s="42">
        <f>SUM(J359:K359)-L359</f>
        <v>2031.2499999999982</v>
      </c>
      <c r="K360" s="34"/>
      <c r="L360" s="3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3.25" x14ac:dyDescent="0.35">
      <c r="A361" s="43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44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46.5" x14ac:dyDescent="0.35">
      <c r="A362" s="22" t="s">
        <v>93</v>
      </c>
      <c r="B362" s="23" t="s">
        <v>94</v>
      </c>
      <c r="C362" s="23" t="s">
        <v>1</v>
      </c>
      <c r="D362" s="24" t="s">
        <v>284</v>
      </c>
      <c r="E362" s="24" t="s">
        <v>285</v>
      </c>
      <c r="F362" s="24" t="s">
        <v>286</v>
      </c>
      <c r="G362" s="24" t="s">
        <v>287</v>
      </c>
      <c r="H362" s="24" t="s">
        <v>286</v>
      </c>
      <c r="I362" s="24" t="s">
        <v>287</v>
      </c>
      <c r="J362" s="24" t="s">
        <v>288</v>
      </c>
      <c r="K362" s="24" t="s">
        <v>234</v>
      </c>
      <c r="L362" s="25" t="s">
        <v>302</v>
      </c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3.25" x14ac:dyDescent="0.35">
      <c r="A363" s="152" t="s">
        <v>314</v>
      </c>
      <c r="B363" s="151" t="s">
        <v>126</v>
      </c>
      <c r="C363" s="145" t="s">
        <v>110</v>
      </c>
      <c r="D363" s="27">
        <v>46093</v>
      </c>
      <c r="E363" s="28" t="s">
        <v>291</v>
      </c>
      <c r="F363" s="29"/>
      <c r="G363" s="29"/>
      <c r="H363" s="29"/>
      <c r="I363" s="29"/>
      <c r="J363" s="30">
        <f t="shared" ref="J363:J369" si="87">(((I363-H363)+(G363-F363))*24)</f>
        <v>0</v>
      </c>
      <c r="K363" s="28"/>
      <c r="L363" s="31">
        <v>750</v>
      </c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3.25" x14ac:dyDescent="0.35">
      <c r="A364" s="149"/>
      <c r="B364" s="146"/>
      <c r="C364" s="146"/>
      <c r="D364" s="27">
        <v>46094</v>
      </c>
      <c r="E364" s="28" t="s">
        <v>292</v>
      </c>
      <c r="F364" s="29">
        <v>0.3125</v>
      </c>
      <c r="G364" s="29">
        <v>0.54166666666666663</v>
      </c>
      <c r="H364" s="29">
        <v>0.58333333333333337</v>
      </c>
      <c r="I364" s="29">
        <v>0.72916666666666663</v>
      </c>
      <c r="J364" s="30">
        <f t="shared" si="87"/>
        <v>8.9999999999999964</v>
      </c>
      <c r="K364" s="30">
        <f t="shared" ref="K364:K365" si="88">J364-8</f>
        <v>0.99999999999999645</v>
      </c>
      <c r="L364" s="31">
        <v>500</v>
      </c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3.25" x14ac:dyDescent="0.35">
      <c r="A365" s="149"/>
      <c r="B365" s="146"/>
      <c r="C365" s="146"/>
      <c r="D365" s="27">
        <v>46095</v>
      </c>
      <c r="E365" s="28" t="s">
        <v>293</v>
      </c>
      <c r="F365" s="29">
        <v>0.3125</v>
      </c>
      <c r="G365" s="29">
        <v>0.54166666666666663</v>
      </c>
      <c r="H365" s="29">
        <v>0.58333333333333337</v>
      </c>
      <c r="I365" s="29">
        <v>0.72916666666666663</v>
      </c>
      <c r="J365" s="30">
        <f t="shared" si="87"/>
        <v>8.9999999999999964</v>
      </c>
      <c r="K365" s="30">
        <f t="shared" si="88"/>
        <v>0.99999999999999645</v>
      </c>
      <c r="L365" s="31">
        <v>1000</v>
      </c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3.25" x14ac:dyDescent="0.35">
      <c r="A366" s="149"/>
      <c r="B366" s="146"/>
      <c r="C366" s="146"/>
      <c r="D366" s="27">
        <v>46096</v>
      </c>
      <c r="E366" s="28" t="s">
        <v>294</v>
      </c>
      <c r="F366" s="29"/>
      <c r="G366" s="29"/>
      <c r="H366" s="29"/>
      <c r="I366" s="29"/>
      <c r="J366" s="30">
        <f t="shared" si="87"/>
        <v>0</v>
      </c>
      <c r="L366" s="31">
        <v>1500</v>
      </c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3.25" x14ac:dyDescent="0.35">
      <c r="A367" s="149"/>
      <c r="B367" s="146"/>
      <c r="C367" s="146"/>
      <c r="D367" s="27">
        <v>46097</v>
      </c>
      <c r="E367" s="28" t="s">
        <v>295</v>
      </c>
      <c r="F367" s="29">
        <v>0.3125</v>
      </c>
      <c r="G367" s="29">
        <v>0.54166666666666663</v>
      </c>
      <c r="H367" s="29">
        <v>0.58333333333333337</v>
      </c>
      <c r="I367" s="29">
        <v>0.72916666666666663</v>
      </c>
      <c r="J367" s="30">
        <f t="shared" si="87"/>
        <v>8.9999999999999964</v>
      </c>
      <c r="K367" s="32">
        <f t="shared" ref="K367:K369" si="89">J367-8</f>
        <v>0.99999999999999645</v>
      </c>
      <c r="L367" s="31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3.25" x14ac:dyDescent="0.35">
      <c r="A368" s="149"/>
      <c r="B368" s="146"/>
      <c r="C368" s="146"/>
      <c r="D368" s="27">
        <v>46098</v>
      </c>
      <c r="E368" s="28" t="s">
        <v>296</v>
      </c>
      <c r="F368" s="29">
        <v>0.29166666666666669</v>
      </c>
      <c r="G368" s="29">
        <v>0.54166666666666663</v>
      </c>
      <c r="H368" s="29">
        <v>0.58333333333333337</v>
      </c>
      <c r="I368" s="29">
        <v>0.70833333333333337</v>
      </c>
      <c r="J368" s="30">
        <f t="shared" si="87"/>
        <v>8.9999999999999982</v>
      </c>
      <c r="K368" s="30">
        <f t="shared" si="89"/>
        <v>0.99999999999999822</v>
      </c>
      <c r="L368" s="31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3.25" x14ac:dyDescent="0.35">
      <c r="A369" s="149"/>
      <c r="B369" s="146"/>
      <c r="C369" s="146"/>
      <c r="D369" s="27">
        <v>46099</v>
      </c>
      <c r="E369" s="28" t="s">
        <v>297</v>
      </c>
      <c r="F369" s="29">
        <v>0.3125</v>
      </c>
      <c r="G369" s="29">
        <v>0.54166666666666663</v>
      </c>
      <c r="H369" s="29">
        <v>0.58333333333333337</v>
      </c>
      <c r="I369" s="29">
        <v>0.72916666666666663</v>
      </c>
      <c r="J369" s="30">
        <f t="shared" si="87"/>
        <v>8.9999999999999964</v>
      </c>
      <c r="K369" s="32">
        <f t="shared" si="89"/>
        <v>0.99999999999999645</v>
      </c>
      <c r="L369" s="33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3.25" x14ac:dyDescent="0.35">
      <c r="A370" s="149"/>
      <c r="B370" s="146"/>
      <c r="C370" s="146"/>
      <c r="D370" s="27"/>
      <c r="E370" s="28"/>
      <c r="F370" s="28"/>
      <c r="G370" s="28"/>
      <c r="H370" s="26"/>
      <c r="I370" s="34" t="s">
        <v>298</v>
      </c>
      <c r="J370" s="35">
        <v>1200</v>
      </c>
      <c r="K370" s="34"/>
      <c r="L370" s="3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3.25" x14ac:dyDescent="0.35">
      <c r="A371" s="149"/>
      <c r="B371" s="146"/>
      <c r="C371" s="146"/>
      <c r="D371" s="27"/>
      <c r="E371" s="28"/>
      <c r="F371" s="28"/>
      <c r="G371" s="28"/>
      <c r="H371" s="37"/>
      <c r="I371" s="34" t="s">
        <v>299</v>
      </c>
      <c r="J371" s="35">
        <f>J370*(COUNTIF(J363:J369, "&gt;0.00"))</f>
        <v>6000</v>
      </c>
      <c r="K371" s="35">
        <f>(J370/8)*(SUM(K363:K369))</f>
        <v>749.99999999999761</v>
      </c>
      <c r="L371" s="36">
        <f>SUM(L363:L369)</f>
        <v>3750</v>
      </c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3.25" x14ac:dyDescent="0.35">
      <c r="A372" s="150"/>
      <c r="B372" s="147"/>
      <c r="C372" s="147"/>
      <c r="D372" s="38"/>
      <c r="E372" s="39"/>
      <c r="F372" s="39"/>
      <c r="G372" s="39"/>
      <c r="H372" s="40"/>
      <c r="I372" s="41" t="s">
        <v>300</v>
      </c>
      <c r="J372" s="42">
        <f>SUM(J371:K371)-L371</f>
        <v>2999.9999999999973</v>
      </c>
      <c r="K372" s="34"/>
      <c r="L372" s="3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3.25" x14ac:dyDescent="0.35">
      <c r="A373" s="43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44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46.5" x14ac:dyDescent="0.35">
      <c r="A374" s="22" t="s">
        <v>93</v>
      </c>
      <c r="B374" s="23" t="s">
        <v>94</v>
      </c>
      <c r="C374" s="23" t="s">
        <v>1</v>
      </c>
      <c r="D374" s="24" t="s">
        <v>284</v>
      </c>
      <c r="E374" s="24" t="s">
        <v>285</v>
      </c>
      <c r="F374" s="24" t="s">
        <v>286</v>
      </c>
      <c r="G374" s="24" t="s">
        <v>287</v>
      </c>
      <c r="H374" s="24" t="s">
        <v>286</v>
      </c>
      <c r="I374" s="24" t="s">
        <v>287</v>
      </c>
      <c r="J374" s="24" t="s">
        <v>288</v>
      </c>
      <c r="K374" s="24" t="s">
        <v>234</v>
      </c>
      <c r="L374" s="25" t="s">
        <v>302</v>
      </c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3.25" x14ac:dyDescent="0.35">
      <c r="A375" s="152" t="s">
        <v>315</v>
      </c>
      <c r="B375" s="151" t="s">
        <v>127</v>
      </c>
      <c r="C375" s="145" t="s">
        <v>110</v>
      </c>
      <c r="D375" s="27">
        <v>46093</v>
      </c>
      <c r="E375" s="28" t="s">
        <v>291</v>
      </c>
      <c r="F375" s="29"/>
      <c r="G375" s="29"/>
      <c r="H375" s="29"/>
      <c r="I375" s="29"/>
      <c r="J375" s="30">
        <f t="shared" ref="J375:J381" si="90">(((I375-H375)+(G375-F375))*24)</f>
        <v>0</v>
      </c>
      <c r="K375" s="28"/>
      <c r="L375" s="31">
        <v>750</v>
      </c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3.25" x14ac:dyDescent="0.35">
      <c r="A376" s="149"/>
      <c r="B376" s="146"/>
      <c r="C376" s="146"/>
      <c r="D376" s="27">
        <v>46094</v>
      </c>
      <c r="E376" s="28" t="s">
        <v>292</v>
      </c>
      <c r="F376" s="29">
        <v>0.3125</v>
      </c>
      <c r="G376" s="29">
        <v>0.54166666666666663</v>
      </c>
      <c r="H376" s="29">
        <v>0.58333333333333337</v>
      </c>
      <c r="I376" s="29">
        <v>0.72916666666666663</v>
      </c>
      <c r="J376" s="30">
        <f t="shared" si="90"/>
        <v>8.9999999999999964</v>
      </c>
      <c r="K376" s="30">
        <f t="shared" ref="K376:K377" si="91">J376-8</f>
        <v>0.99999999999999645</v>
      </c>
      <c r="L376" s="31">
        <v>500</v>
      </c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3.25" x14ac:dyDescent="0.35">
      <c r="A377" s="149"/>
      <c r="B377" s="146"/>
      <c r="C377" s="146"/>
      <c r="D377" s="27">
        <v>46095</v>
      </c>
      <c r="E377" s="28" t="s">
        <v>293</v>
      </c>
      <c r="F377" s="29">
        <v>0.3125</v>
      </c>
      <c r="G377" s="29">
        <v>0.54166666666666663</v>
      </c>
      <c r="H377" s="29">
        <v>0.58333333333333337</v>
      </c>
      <c r="I377" s="29">
        <v>0.72916666666666663</v>
      </c>
      <c r="J377" s="30">
        <f t="shared" si="90"/>
        <v>8.9999999999999964</v>
      </c>
      <c r="K377" s="30">
        <f t="shared" si="91"/>
        <v>0.99999999999999645</v>
      </c>
      <c r="L377" s="31">
        <v>1000</v>
      </c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3.25" x14ac:dyDescent="0.35">
      <c r="A378" s="149"/>
      <c r="B378" s="146"/>
      <c r="C378" s="146"/>
      <c r="D378" s="27">
        <v>46096</v>
      </c>
      <c r="E378" s="28" t="s">
        <v>294</v>
      </c>
      <c r="F378" s="29"/>
      <c r="G378" s="29"/>
      <c r="H378" s="29"/>
      <c r="I378" s="29"/>
      <c r="J378" s="30">
        <f t="shared" si="90"/>
        <v>0</v>
      </c>
      <c r="L378" s="31">
        <v>1500</v>
      </c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3.25" x14ac:dyDescent="0.35">
      <c r="A379" s="149"/>
      <c r="B379" s="146"/>
      <c r="C379" s="146"/>
      <c r="D379" s="27">
        <v>46097</v>
      </c>
      <c r="E379" s="28" t="s">
        <v>295</v>
      </c>
      <c r="F379" s="29"/>
      <c r="G379" s="29"/>
      <c r="H379" s="29"/>
      <c r="I379" s="29"/>
      <c r="J379" s="30">
        <f t="shared" si="90"/>
        <v>0</v>
      </c>
      <c r="K379" s="83"/>
      <c r="L379" s="31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3.25" x14ac:dyDescent="0.35">
      <c r="A380" s="149"/>
      <c r="B380" s="146"/>
      <c r="C380" s="146"/>
      <c r="D380" s="27">
        <v>46098</v>
      </c>
      <c r="E380" s="28" t="s">
        <v>296</v>
      </c>
      <c r="F380" s="29">
        <v>0.33333333333333331</v>
      </c>
      <c r="G380" s="29">
        <v>0.54166666666666663</v>
      </c>
      <c r="H380" s="29">
        <v>0.58333333333333337</v>
      </c>
      <c r="I380" s="29">
        <v>0.70833333333333337</v>
      </c>
      <c r="J380" s="30">
        <f t="shared" si="90"/>
        <v>8</v>
      </c>
      <c r="K380" s="30">
        <f t="shared" ref="K380:K381" si="92">J380-8</f>
        <v>0</v>
      </c>
      <c r="L380" s="31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3.25" x14ac:dyDescent="0.35">
      <c r="A381" s="149"/>
      <c r="B381" s="146"/>
      <c r="C381" s="146"/>
      <c r="D381" s="27">
        <v>46099</v>
      </c>
      <c r="E381" s="28" t="s">
        <v>297</v>
      </c>
      <c r="F381" s="29">
        <v>0.33333333333333331</v>
      </c>
      <c r="G381" s="29">
        <v>0.54166666666666663</v>
      </c>
      <c r="H381" s="29">
        <v>0.58333333333333337</v>
      </c>
      <c r="I381" s="29">
        <v>0.70833333333333337</v>
      </c>
      <c r="J381" s="30">
        <f t="shared" si="90"/>
        <v>8</v>
      </c>
      <c r="K381" s="32">
        <f t="shared" si="92"/>
        <v>0</v>
      </c>
      <c r="L381" s="33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3.25" x14ac:dyDescent="0.35">
      <c r="A382" s="149"/>
      <c r="B382" s="146"/>
      <c r="C382" s="146"/>
      <c r="D382" s="27"/>
      <c r="E382" s="28"/>
      <c r="F382" s="28"/>
      <c r="G382" s="28"/>
      <c r="H382" s="26"/>
      <c r="I382" s="34" t="s">
        <v>298</v>
      </c>
      <c r="J382" s="35">
        <v>1200</v>
      </c>
      <c r="K382" s="34"/>
      <c r="L382" s="3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3.25" x14ac:dyDescent="0.35">
      <c r="A383" s="149"/>
      <c r="B383" s="146"/>
      <c r="C383" s="146"/>
      <c r="D383" s="27"/>
      <c r="E383" s="28"/>
      <c r="F383" s="28"/>
      <c r="G383" s="28"/>
      <c r="H383" s="37"/>
      <c r="I383" s="34" t="s">
        <v>299</v>
      </c>
      <c r="J383" s="35">
        <f>J382*(COUNTIF(J375:J381, "&gt;0.00"))</f>
        <v>4800</v>
      </c>
      <c r="K383" s="35">
        <f>(J382/8)*(SUM(K375:K381))</f>
        <v>299.99999999999892</v>
      </c>
      <c r="L383" s="36">
        <f>SUM(L375:L381)</f>
        <v>3750</v>
      </c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3.25" x14ac:dyDescent="0.35">
      <c r="A384" s="150"/>
      <c r="B384" s="147"/>
      <c r="C384" s="147"/>
      <c r="D384" s="38"/>
      <c r="E384" s="39"/>
      <c r="F384" s="39"/>
      <c r="G384" s="39"/>
      <c r="H384" s="40"/>
      <c r="I384" s="41" t="s">
        <v>300</v>
      </c>
      <c r="J384" s="42">
        <f>SUM(J383:K383)-L383</f>
        <v>1349.9999999999991</v>
      </c>
      <c r="K384" s="34"/>
      <c r="L384" s="3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3.25" x14ac:dyDescent="0.35">
      <c r="A385" s="43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44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46.5" x14ac:dyDescent="0.35">
      <c r="A386" s="22" t="s">
        <v>93</v>
      </c>
      <c r="B386" s="23" t="s">
        <v>94</v>
      </c>
      <c r="C386" s="23" t="s">
        <v>1</v>
      </c>
      <c r="D386" s="24" t="s">
        <v>284</v>
      </c>
      <c r="E386" s="24" t="s">
        <v>285</v>
      </c>
      <c r="F386" s="24" t="s">
        <v>286</v>
      </c>
      <c r="G386" s="24" t="s">
        <v>287</v>
      </c>
      <c r="H386" s="24" t="s">
        <v>286</v>
      </c>
      <c r="I386" s="24" t="s">
        <v>287</v>
      </c>
      <c r="J386" s="24" t="s">
        <v>288</v>
      </c>
      <c r="K386" s="24" t="s">
        <v>234</v>
      </c>
      <c r="L386" s="25" t="s">
        <v>302</v>
      </c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3.25" x14ac:dyDescent="0.35">
      <c r="A387" s="152" t="s">
        <v>355</v>
      </c>
      <c r="B387" s="151" t="s">
        <v>128</v>
      </c>
      <c r="C387" s="145" t="s">
        <v>16</v>
      </c>
      <c r="D387" s="27">
        <v>46093</v>
      </c>
      <c r="E387" s="28" t="s">
        <v>291</v>
      </c>
      <c r="F387" s="29"/>
      <c r="G387" s="29"/>
      <c r="H387" s="29"/>
      <c r="I387" s="29"/>
      <c r="J387" s="30">
        <f t="shared" ref="J387:J393" si="93">(((I387-H387)+(G387-F387))*24)</f>
        <v>0</v>
      </c>
      <c r="K387" s="28"/>
      <c r="L387" s="31">
        <v>750</v>
      </c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3.25" x14ac:dyDescent="0.35">
      <c r="A388" s="149"/>
      <c r="B388" s="146"/>
      <c r="C388" s="146"/>
      <c r="D388" s="27">
        <v>46094</v>
      </c>
      <c r="E388" s="28" t="s">
        <v>292</v>
      </c>
      <c r="F388" s="29">
        <v>0.29166666666666669</v>
      </c>
      <c r="G388" s="29">
        <v>0.54166666666666663</v>
      </c>
      <c r="H388" s="29">
        <v>0.58333333333333337</v>
      </c>
      <c r="I388" s="29">
        <v>0.76041666666666663</v>
      </c>
      <c r="J388" s="30">
        <f t="shared" si="93"/>
        <v>10.249999999999996</v>
      </c>
      <c r="K388" s="30">
        <f t="shared" ref="K388:K389" si="94">J388-8</f>
        <v>2.2499999999999964</v>
      </c>
      <c r="L388" s="31">
        <v>500</v>
      </c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3.25" x14ac:dyDescent="0.35">
      <c r="A389" s="149"/>
      <c r="B389" s="146"/>
      <c r="C389" s="146"/>
      <c r="D389" s="27">
        <v>46095</v>
      </c>
      <c r="E389" s="28" t="s">
        <v>293</v>
      </c>
      <c r="F389" s="29">
        <v>0.29166666666666669</v>
      </c>
      <c r="G389" s="29">
        <v>0.54166666666666663</v>
      </c>
      <c r="H389" s="29">
        <v>0.58333333333333337</v>
      </c>
      <c r="I389" s="29">
        <v>0.75</v>
      </c>
      <c r="J389" s="30">
        <f t="shared" si="93"/>
        <v>9.9999999999999982</v>
      </c>
      <c r="K389" s="30">
        <f t="shared" si="94"/>
        <v>1.9999999999999982</v>
      </c>
      <c r="L389" s="31">
        <v>1000</v>
      </c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3.25" x14ac:dyDescent="0.35">
      <c r="A390" s="149"/>
      <c r="B390" s="146"/>
      <c r="C390" s="146"/>
      <c r="D390" s="27">
        <v>46096</v>
      </c>
      <c r="E390" s="28" t="s">
        <v>294</v>
      </c>
      <c r="F390" s="29"/>
      <c r="G390" s="29"/>
      <c r="H390" s="29"/>
      <c r="I390" s="29"/>
      <c r="J390" s="30">
        <f t="shared" si="93"/>
        <v>0</v>
      </c>
      <c r="L390" s="31">
        <v>1500</v>
      </c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3.25" x14ac:dyDescent="0.35">
      <c r="A391" s="149"/>
      <c r="B391" s="146"/>
      <c r="C391" s="146"/>
      <c r="D391" s="27">
        <v>46097</v>
      </c>
      <c r="E391" s="28" t="s">
        <v>295</v>
      </c>
      <c r="F391" s="29">
        <v>0.29166666666666669</v>
      </c>
      <c r="G391" s="29">
        <v>0.54166666666666663</v>
      </c>
      <c r="H391" s="29">
        <v>0.58333333333333337</v>
      </c>
      <c r="I391" s="29">
        <v>0.75694444444444442</v>
      </c>
      <c r="J391" s="30">
        <f t="shared" si="93"/>
        <v>10.166666666666664</v>
      </c>
      <c r="K391" s="32">
        <f t="shared" ref="K391:K393" si="95">J391-8</f>
        <v>2.1666666666666643</v>
      </c>
      <c r="L391" s="31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3.25" x14ac:dyDescent="0.35">
      <c r="A392" s="149"/>
      <c r="B392" s="146"/>
      <c r="C392" s="146"/>
      <c r="D392" s="27">
        <v>46098</v>
      </c>
      <c r="E392" s="28" t="s">
        <v>296</v>
      </c>
      <c r="F392" s="29">
        <v>0.29166666666666669</v>
      </c>
      <c r="G392" s="29">
        <v>0.54166666666666663</v>
      </c>
      <c r="H392" s="29">
        <v>0.58333333333333337</v>
      </c>
      <c r="I392" s="29">
        <v>0.75</v>
      </c>
      <c r="J392" s="30">
        <f t="shared" si="93"/>
        <v>9.9999999999999982</v>
      </c>
      <c r="K392" s="30">
        <f t="shared" si="95"/>
        <v>1.9999999999999982</v>
      </c>
      <c r="L392" s="31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3.25" x14ac:dyDescent="0.35">
      <c r="A393" s="149"/>
      <c r="B393" s="146"/>
      <c r="C393" s="146"/>
      <c r="D393" s="27">
        <v>46099</v>
      </c>
      <c r="E393" s="28" t="s">
        <v>297</v>
      </c>
      <c r="F393" s="29">
        <v>0.29166666666666669</v>
      </c>
      <c r="G393" s="29">
        <v>0.54166666666666663</v>
      </c>
      <c r="H393" s="29">
        <v>0.58333333333333337</v>
      </c>
      <c r="I393" s="29">
        <v>0.66666666666666663</v>
      </c>
      <c r="J393" s="30">
        <f t="shared" si="93"/>
        <v>7.9999999999999964</v>
      </c>
      <c r="K393" s="32">
        <f t="shared" si="95"/>
        <v>0</v>
      </c>
      <c r="L393" s="33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3.25" x14ac:dyDescent="0.35">
      <c r="A394" s="149"/>
      <c r="B394" s="146"/>
      <c r="C394" s="146"/>
      <c r="D394" s="27"/>
      <c r="E394" s="28"/>
      <c r="F394" s="28"/>
      <c r="G394" s="28"/>
      <c r="H394" s="26"/>
      <c r="I394" s="34" t="s">
        <v>298</v>
      </c>
      <c r="J394" s="35">
        <v>1200</v>
      </c>
      <c r="K394" s="34"/>
      <c r="L394" s="3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3.25" x14ac:dyDescent="0.35">
      <c r="A395" s="149"/>
      <c r="B395" s="146"/>
      <c r="C395" s="146"/>
      <c r="D395" s="27"/>
      <c r="E395" s="28"/>
      <c r="F395" s="28"/>
      <c r="G395" s="28"/>
      <c r="H395" s="37"/>
      <c r="I395" s="34" t="s">
        <v>299</v>
      </c>
      <c r="J395" s="35">
        <f>J394*(COUNTIF(J387:J393, "&gt;0.00"))</f>
        <v>6000</v>
      </c>
      <c r="K395" s="35">
        <f>(J394/8)*(SUM(K387:K393))</f>
        <v>1262.4999999999986</v>
      </c>
      <c r="L395" s="36">
        <f>SUM(L387:L393)</f>
        <v>3750</v>
      </c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3.25" x14ac:dyDescent="0.35">
      <c r="A396" s="150"/>
      <c r="B396" s="147"/>
      <c r="C396" s="147"/>
      <c r="D396" s="38"/>
      <c r="E396" s="39"/>
      <c r="F396" s="39"/>
      <c r="G396" s="39"/>
      <c r="H396" s="40"/>
      <c r="I396" s="41" t="s">
        <v>300</v>
      </c>
      <c r="J396" s="42">
        <f>SUM(J395:K395)-L395</f>
        <v>3512.4999999999982</v>
      </c>
      <c r="K396" s="34"/>
      <c r="L396" s="3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3.25" x14ac:dyDescent="0.35">
      <c r="A397" s="43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44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46.5" x14ac:dyDescent="0.35">
      <c r="A398" s="22" t="s">
        <v>93</v>
      </c>
      <c r="B398" s="23" t="s">
        <v>94</v>
      </c>
      <c r="C398" s="23" t="s">
        <v>1</v>
      </c>
      <c r="D398" s="24" t="s">
        <v>284</v>
      </c>
      <c r="E398" s="24" t="s">
        <v>285</v>
      </c>
      <c r="F398" s="24" t="s">
        <v>286</v>
      </c>
      <c r="G398" s="24" t="s">
        <v>287</v>
      </c>
      <c r="H398" s="24" t="s">
        <v>286</v>
      </c>
      <c r="I398" s="24" t="s">
        <v>287</v>
      </c>
      <c r="J398" s="24" t="s">
        <v>288</v>
      </c>
      <c r="K398" s="24" t="s">
        <v>234</v>
      </c>
      <c r="L398" s="25" t="s">
        <v>302</v>
      </c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3.25" x14ac:dyDescent="0.35">
      <c r="A399" s="152" t="s">
        <v>317</v>
      </c>
      <c r="B399" s="151" t="s">
        <v>129</v>
      </c>
      <c r="C399" s="145" t="s">
        <v>110</v>
      </c>
      <c r="D399" s="27">
        <v>46093</v>
      </c>
      <c r="E399" s="28" t="s">
        <v>291</v>
      </c>
      <c r="F399" s="29"/>
      <c r="G399" s="29"/>
      <c r="H399" s="29"/>
      <c r="I399" s="29"/>
      <c r="J399" s="30">
        <f t="shared" ref="J399:J405" si="96">(((I399-H399)+(G399-F399))*24)</f>
        <v>0</v>
      </c>
      <c r="K399" s="28"/>
      <c r="L399" s="31">
        <v>750</v>
      </c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3.25" x14ac:dyDescent="0.35">
      <c r="A400" s="149"/>
      <c r="B400" s="146"/>
      <c r="C400" s="146"/>
      <c r="D400" s="27">
        <v>46094</v>
      </c>
      <c r="E400" s="28" t="s">
        <v>292</v>
      </c>
      <c r="F400" s="29">
        <v>0.3125</v>
      </c>
      <c r="G400" s="29">
        <v>0.54166666666666663</v>
      </c>
      <c r="H400" s="29">
        <v>0.58333333333333337</v>
      </c>
      <c r="I400" s="29">
        <v>0.72916666666666663</v>
      </c>
      <c r="J400" s="30">
        <f t="shared" si="96"/>
        <v>8.9999999999999964</v>
      </c>
      <c r="K400" s="30">
        <f t="shared" ref="K400:K401" si="97">J400-8</f>
        <v>0.99999999999999645</v>
      </c>
      <c r="L400" s="31">
        <v>500</v>
      </c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3.25" x14ac:dyDescent="0.35">
      <c r="A401" s="149"/>
      <c r="B401" s="146"/>
      <c r="C401" s="146"/>
      <c r="D401" s="27">
        <v>46095</v>
      </c>
      <c r="E401" s="28" t="s">
        <v>293</v>
      </c>
      <c r="F401" s="29">
        <v>0.3125</v>
      </c>
      <c r="G401" s="29">
        <v>0.54166666666666663</v>
      </c>
      <c r="H401" s="29">
        <v>0.58333333333333337</v>
      </c>
      <c r="I401" s="29">
        <v>0.72916666666666663</v>
      </c>
      <c r="J401" s="30">
        <f t="shared" si="96"/>
        <v>8.9999999999999964</v>
      </c>
      <c r="K401" s="30">
        <f t="shared" si="97"/>
        <v>0.99999999999999645</v>
      </c>
      <c r="L401" s="31">
        <v>1000</v>
      </c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3.25" x14ac:dyDescent="0.35">
      <c r="A402" s="149"/>
      <c r="B402" s="146"/>
      <c r="C402" s="146"/>
      <c r="D402" s="27">
        <v>46096</v>
      </c>
      <c r="E402" s="28" t="s">
        <v>294</v>
      </c>
      <c r="F402" s="29"/>
      <c r="G402" s="29"/>
      <c r="H402" s="29"/>
      <c r="I402" s="29"/>
      <c r="J402" s="30">
        <f t="shared" si="96"/>
        <v>0</v>
      </c>
      <c r="L402" s="31">
        <v>1500</v>
      </c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3.25" x14ac:dyDescent="0.35">
      <c r="A403" s="149"/>
      <c r="B403" s="146"/>
      <c r="C403" s="146"/>
      <c r="D403" s="27">
        <v>46097</v>
      </c>
      <c r="E403" s="28" t="s">
        <v>295</v>
      </c>
      <c r="F403" s="29">
        <v>0.3125</v>
      </c>
      <c r="G403" s="29">
        <v>0.54166666666666663</v>
      </c>
      <c r="H403" s="29">
        <v>0.58333333333333337</v>
      </c>
      <c r="I403" s="29">
        <v>0.72916666666666663</v>
      </c>
      <c r="J403" s="30">
        <f t="shared" si="96"/>
        <v>8.9999999999999964</v>
      </c>
      <c r="K403" s="83"/>
      <c r="L403" s="31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3.25" x14ac:dyDescent="0.35">
      <c r="A404" s="149"/>
      <c r="B404" s="146"/>
      <c r="C404" s="146"/>
      <c r="D404" s="27">
        <v>46098</v>
      </c>
      <c r="E404" s="28" t="s">
        <v>296</v>
      </c>
      <c r="F404" s="29">
        <v>0.33333333333333331</v>
      </c>
      <c r="G404" s="29">
        <v>0.54166666666666663</v>
      </c>
      <c r="H404" s="29">
        <v>0.58333333333333337</v>
      </c>
      <c r="I404" s="29">
        <v>0.70833333333333337</v>
      </c>
      <c r="J404" s="30">
        <f t="shared" si="96"/>
        <v>8</v>
      </c>
      <c r="K404" s="30">
        <f t="shared" ref="K404:K405" si="98">J404-8</f>
        <v>0</v>
      </c>
      <c r="L404" s="31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3.25" x14ac:dyDescent="0.35">
      <c r="A405" s="149"/>
      <c r="B405" s="146"/>
      <c r="C405" s="146"/>
      <c r="D405" s="27">
        <v>46099</v>
      </c>
      <c r="E405" s="28" t="s">
        <v>297</v>
      </c>
      <c r="F405" s="29">
        <v>0.3125</v>
      </c>
      <c r="G405" s="29">
        <v>0.54166666666666663</v>
      </c>
      <c r="H405" s="29">
        <v>0.58333333333333337</v>
      </c>
      <c r="I405" s="29">
        <v>0.72916666666666663</v>
      </c>
      <c r="J405" s="30">
        <f t="shared" si="96"/>
        <v>8.9999999999999964</v>
      </c>
      <c r="K405" s="32">
        <f t="shared" si="98"/>
        <v>0.99999999999999645</v>
      </c>
      <c r="L405" s="33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3.25" x14ac:dyDescent="0.35">
      <c r="A406" s="149"/>
      <c r="B406" s="146"/>
      <c r="C406" s="146"/>
      <c r="D406" s="27"/>
      <c r="E406" s="28"/>
      <c r="F406" s="28"/>
      <c r="G406" s="28"/>
      <c r="H406" s="26"/>
      <c r="I406" s="34" t="s">
        <v>298</v>
      </c>
      <c r="J406" s="35">
        <v>1200</v>
      </c>
      <c r="K406" s="34"/>
      <c r="L406" s="3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3.25" x14ac:dyDescent="0.35">
      <c r="A407" s="149"/>
      <c r="B407" s="146"/>
      <c r="C407" s="146"/>
      <c r="D407" s="27"/>
      <c r="E407" s="28"/>
      <c r="F407" s="28"/>
      <c r="G407" s="28"/>
      <c r="H407" s="37"/>
      <c r="I407" s="34" t="s">
        <v>299</v>
      </c>
      <c r="J407" s="35">
        <f>J406*(COUNTIF(J399:J405, "&gt;0.00"))</f>
        <v>6000</v>
      </c>
      <c r="K407" s="35">
        <f>(J406/8)*(SUM(K399:K405))</f>
        <v>449.99999999999841</v>
      </c>
      <c r="L407" s="36">
        <f>SUM(L399:L405)</f>
        <v>3750</v>
      </c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3.25" x14ac:dyDescent="0.35">
      <c r="A408" s="150"/>
      <c r="B408" s="147"/>
      <c r="C408" s="147"/>
      <c r="D408" s="38"/>
      <c r="E408" s="39"/>
      <c r="F408" s="39"/>
      <c r="G408" s="39"/>
      <c r="H408" s="40"/>
      <c r="I408" s="41" t="s">
        <v>300</v>
      </c>
      <c r="J408" s="42">
        <f>SUM(J407:K407)-L407</f>
        <v>2699.9999999999982</v>
      </c>
      <c r="K408" s="34"/>
      <c r="L408" s="3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3.25" x14ac:dyDescent="0.35">
      <c r="A409" s="43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44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46.5" x14ac:dyDescent="0.35">
      <c r="A410" s="22" t="s">
        <v>93</v>
      </c>
      <c r="B410" s="23" t="s">
        <v>94</v>
      </c>
      <c r="C410" s="23" t="s">
        <v>1</v>
      </c>
      <c r="D410" s="24" t="s">
        <v>284</v>
      </c>
      <c r="E410" s="24" t="s">
        <v>285</v>
      </c>
      <c r="F410" s="24" t="s">
        <v>286</v>
      </c>
      <c r="G410" s="24" t="s">
        <v>287</v>
      </c>
      <c r="H410" s="24" t="s">
        <v>286</v>
      </c>
      <c r="I410" s="24" t="s">
        <v>287</v>
      </c>
      <c r="J410" s="24" t="s">
        <v>288</v>
      </c>
      <c r="K410" s="24" t="s">
        <v>234</v>
      </c>
      <c r="L410" s="25" t="s">
        <v>302</v>
      </c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3.25" x14ac:dyDescent="0.35">
      <c r="A411" s="152" t="s">
        <v>318</v>
      </c>
      <c r="B411" s="151" t="s">
        <v>130</v>
      </c>
      <c r="C411" s="145" t="s">
        <v>110</v>
      </c>
      <c r="D411" s="27">
        <v>46093</v>
      </c>
      <c r="E411" s="28" t="s">
        <v>291</v>
      </c>
      <c r="F411" s="29"/>
      <c r="G411" s="29"/>
      <c r="H411" s="29"/>
      <c r="I411" s="29"/>
      <c r="J411" s="30">
        <f t="shared" ref="J411:J417" si="99">(((I411-H411)+(G411-F411))*24)</f>
        <v>0</v>
      </c>
      <c r="K411" s="28"/>
      <c r="L411" s="31">
        <v>750</v>
      </c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3.25" x14ac:dyDescent="0.35">
      <c r="A412" s="149"/>
      <c r="B412" s="146"/>
      <c r="C412" s="146"/>
      <c r="D412" s="27">
        <v>46094</v>
      </c>
      <c r="E412" s="28" t="s">
        <v>292</v>
      </c>
      <c r="F412" s="29">
        <v>0.3125</v>
      </c>
      <c r="G412" s="29">
        <v>0.54166666666666663</v>
      </c>
      <c r="H412" s="29">
        <v>0.58333333333333337</v>
      </c>
      <c r="I412" s="29">
        <v>0.72916666666666663</v>
      </c>
      <c r="J412" s="30">
        <f t="shared" si="99"/>
        <v>8.9999999999999964</v>
      </c>
      <c r="K412" s="30">
        <f t="shared" ref="K412:K413" si="100">J412-8</f>
        <v>0.99999999999999645</v>
      </c>
      <c r="L412" s="31">
        <v>500</v>
      </c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3.25" x14ac:dyDescent="0.35">
      <c r="A413" s="149"/>
      <c r="B413" s="146"/>
      <c r="C413" s="146"/>
      <c r="D413" s="27">
        <v>46095</v>
      </c>
      <c r="E413" s="28" t="s">
        <v>293</v>
      </c>
      <c r="F413" s="29">
        <v>0.3125</v>
      </c>
      <c r="G413" s="29">
        <v>0.54166666666666663</v>
      </c>
      <c r="H413" s="29">
        <v>0.58333333333333337</v>
      </c>
      <c r="I413" s="29">
        <v>0.72916666666666663</v>
      </c>
      <c r="J413" s="30">
        <f t="shared" si="99"/>
        <v>8.9999999999999964</v>
      </c>
      <c r="K413" s="30">
        <f t="shared" si="100"/>
        <v>0.99999999999999645</v>
      </c>
      <c r="L413" s="31">
        <v>1000</v>
      </c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3.25" x14ac:dyDescent="0.35">
      <c r="A414" s="149"/>
      <c r="B414" s="146"/>
      <c r="C414" s="146"/>
      <c r="D414" s="27">
        <v>46096</v>
      </c>
      <c r="E414" s="28" t="s">
        <v>294</v>
      </c>
      <c r="F414" s="29"/>
      <c r="G414" s="29"/>
      <c r="H414" s="29"/>
      <c r="I414" s="29"/>
      <c r="J414" s="30">
        <f t="shared" si="99"/>
        <v>0</v>
      </c>
      <c r="L414" s="31">
        <v>1500</v>
      </c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3.25" x14ac:dyDescent="0.35">
      <c r="A415" s="149"/>
      <c r="B415" s="146"/>
      <c r="C415" s="146"/>
      <c r="D415" s="27">
        <v>46097</v>
      </c>
      <c r="E415" s="28" t="s">
        <v>295</v>
      </c>
      <c r="F415" s="29">
        <v>0.3125</v>
      </c>
      <c r="G415" s="29">
        <v>0.54166666666666663</v>
      </c>
      <c r="H415" s="29">
        <v>0.58333333333333337</v>
      </c>
      <c r="I415" s="29">
        <v>0.72916666666666663</v>
      </c>
      <c r="J415" s="30">
        <f t="shared" si="99"/>
        <v>8.9999999999999964</v>
      </c>
      <c r="K415" s="83"/>
      <c r="L415" s="31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3.25" x14ac:dyDescent="0.35">
      <c r="A416" s="149"/>
      <c r="B416" s="146"/>
      <c r="C416" s="146"/>
      <c r="D416" s="27">
        <v>46098</v>
      </c>
      <c r="E416" s="28" t="s">
        <v>296</v>
      </c>
      <c r="F416" s="29">
        <v>0.33333333333333331</v>
      </c>
      <c r="G416" s="29">
        <v>0.54166666666666663</v>
      </c>
      <c r="H416" s="29">
        <v>0.58333333333333337</v>
      </c>
      <c r="I416" s="29">
        <v>0.70833333333333337</v>
      </c>
      <c r="J416" s="30">
        <f t="shared" si="99"/>
        <v>8</v>
      </c>
      <c r="K416" s="30">
        <f t="shared" ref="K416:K417" si="101">J416-8</f>
        <v>0</v>
      </c>
      <c r="L416" s="31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3.25" x14ac:dyDescent="0.35">
      <c r="A417" s="149"/>
      <c r="B417" s="146"/>
      <c r="C417" s="146"/>
      <c r="D417" s="27">
        <v>46099</v>
      </c>
      <c r="E417" s="28" t="s">
        <v>297</v>
      </c>
      <c r="F417" s="29">
        <v>0.3125</v>
      </c>
      <c r="G417" s="29">
        <v>0.54166666666666663</v>
      </c>
      <c r="H417" s="29">
        <v>0.58333333333333337</v>
      </c>
      <c r="I417" s="29">
        <v>0.72916666666666663</v>
      </c>
      <c r="J417" s="30">
        <f t="shared" si="99"/>
        <v>8.9999999999999964</v>
      </c>
      <c r="K417" s="32">
        <f t="shared" si="101"/>
        <v>0.99999999999999645</v>
      </c>
      <c r="L417" s="33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3.25" x14ac:dyDescent="0.35">
      <c r="A418" s="149"/>
      <c r="B418" s="146"/>
      <c r="C418" s="146"/>
      <c r="D418" s="27"/>
      <c r="E418" s="28"/>
      <c r="F418" s="28"/>
      <c r="G418" s="28"/>
      <c r="H418" s="26"/>
      <c r="I418" s="34" t="s">
        <v>298</v>
      </c>
      <c r="J418" s="35">
        <v>1200</v>
      </c>
      <c r="K418" s="34"/>
      <c r="L418" s="3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3.25" x14ac:dyDescent="0.35">
      <c r="A419" s="149"/>
      <c r="B419" s="146"/>
      <c r="C419" s="146"/>
      <c r="D419" s="27"/>
      <c r="E419" s="28"/>
      <c r="F419" s="28"/>
      <c r="G419" s="28"/>
      <c r="H419" s="37"/>
      <c r="I419" s="34" t="s">
        <v>299</v>
      </c>
      <c r="J419" s="35">
        <f>J418*(COUNTIF(J411:J417, "&gt;0.00"))</f>
        <v>6000</v>
      </c>
      <c r="K419" s="35">
        <f>(J418/8)*(SUM(K411:K417))</f>
        <v>449.99999999999841</v>
      </c>
      <c r="L419" s="36">
        <f>SUM(L411:L417)</f>
        <v>3750</v>
      </c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3.25" x14ac:dyDescent="0.35">
      <c r="A420" s="150"/>
      <c r="B420" s="147"/>
      <c r="C420" s="147"/>
      <c r="D420" s="38"/>
      <c r="E420" s="39"/>
      <c r="F420" s="39"/>
      <c r="G420" s="39"/>
      <c r="H420" s="40"/>
      <c r="I420" s="41" t="s">
        <v>300</v>
      </c>
      <c r="J420" s="42">
        <f>SUM(J419:K419)-L419</f>
        <v>2699.9999999999982</v>
      </c>
      <c r="K420" s="34"/>
      <c r="L420" s="3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3.25" x14ac:dyDescent="0.35">
      <c r="A421" s="43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44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46.5" x14ac:dyDescent="0.35">
      <c r="A422" s="22" t="s">
        <v>93</v>
      </c>
      <c r="B422" s="23" t="s">
        <v>94</v>
      </c>
      <c r="C422" s="23" t="s">
        <v>1</v>
      </c>
      <c r="D422" s="24" t="s">
        <v>284</v>
      </c>
      <c r="E422" s="24" t="s">
        <v>285</v>
      </c>
      <c r="F422" s="24" t="s">
        <v>286</v>
      </c>
      <c r="G422" s="24" t="s">
        <v>287</v>
      </c>
      <c r="H422" s="24" t="s">
        <v>286</v>
      </c>
      <c r="I422" s="24" t="s">
        <v>287</v>
      </c>
      <c r="J422" s="24" t="s">
        <v>288</v>
      </c>
      <c r="K422" s="24" t="s">
        <v>234</v>
      </c>
      <c r="L422" s="25" t="s">
        <v>302</v>
      </c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3.25" x14ac:dyDescent="0.35">
      <c r="A423" s="152" t="s">
        <v>319</v>
      </c>
      <c r="B423" s="151" t="s">
        <v>131</v>
      </c>
      <c r="C423" s="145" t="s">
        <v>110</v>
      </c>
      <c r="D423" s="27">
        <v>46093</v>
      </c>
      <c r="E423" s="28" t="s">
        <v>291</v>
      </c>
      <c r="F423" s="29"/>
      <c r="G423" s="29"/>
      <c r="H423" s="29"/>
      <c r="I423" s="29"/>
      <c r="J423" s="30">
        <f t="shared" ref="J423:J429" si="102">(((I423-H423)+(G423-F423))*24)</f>
        <v>0</v>
      </c>
      <c r="K423" s="28"/>
      <c r="L423" s="31">
        <v>750</v>
      </c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3.25" x14ac:dyDescent="0.35">
      <c r="A424" s="149"/>
      <c r="B424" s="146"/>
      <c r="C424" s="146"/>
      <c r="D424" s="27">
        <v>46094</v>
      </c>
      <c r="E424" s="28" t="s">
        <v>292</v>
      </c>
      <c r="F424" s="29">
        <v>0.3125</v>
      </c>
      <c r="G424" s="29">
        <v>0.54166666666666663</v>
      </c>
      <c r="H424" s="29">
        <v>0.58333333333333337</v>
      </c>
      <c r="I424" s="29">
        <v>0.70833333333333337</v>
      </c>
      <c r="J424" s="30">
        <f t="shared" si="102"/>
        <v>8.5</v>
      </c>
      <c r="K424" s="30">
        <f t="shared" ref="K424:K425" si="103">J424-8</f>
        <v>0.5</v>
      </c>
      <c r="L424" s="31">
        <v>500</v>
      </c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3.25" x14ac:dyDescent="0.35">
      <c r="A425" s="149"/>
      <c r="B425" s="146"/>
      <c r="C425" s="146"/>
      <c r="D425" s="27">
        <v>46095</v>
      </c>
      <c r="E425" s="28" t="s">
        <v>293</v>
      </c>
      <c r="F425" s="29">
        <v>0.3125</v>
      </c>
      <c r="G425" s="29">
        <v>0.54166666666666663</v>
      </c>
      <c r="H425" s="29">
        <v>0.58333333333333337</v>
      </c>
      <c r="I425" s="29">
        <v>0.70833333333333337</v>
      </c>
      <c r="J425" s="30">
        <f t="shared" si="102"/>
        <v>8.5</v>
      </c>
      <c r="K425" s="30">
        <f t="shared" si="103"/>
        <v>0.5</v>
      </c>
      <c r="L425" s="31">
        <v>1000</v>
      </c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3.25" x14ac:dyDescent="0.35">
      <c r="A426" s="149"/>
      <c r="B426" s="146"/>
      <c r="C426" s="146"/>
      <c r="D426" s="27">
        <v>46096</v>
      </c>
      <c r="E426" s="28" t="s">
        <v>294</v>
      </c>
      <c r="F426" s="29"/>
      <c r="G426" s="29"/>
      <c r="H426" s="29"/>
      <c r="I426" s="29"/>
      <c r="J426" s="30">
        <f t="shared" si="102"/>
        <v>0</v>
      </c>
      <c r="L426" s="31">
        <v>1500</v>
      </c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3.25" x14ac:dyDescent="0.35">
      <c r="A427" s="149"/>
      <c r="B427" s="146"/>
      <c r="C427" s="146"/>
      <c r="D427" s="27">
        <v>46097</v>
      </c>
      <c r="E427" s="28" t="s">
        <v>295</v>
      </c>
      <c r="F427" s="29">
        <v>0.3125</v>
      </c>
      <c r="G427" s="29">
        <v>0.54166666666666663</v>
      </c>
      <c r="H427" s="29">
        <v>0.58333333333333337</v>
      </c>
      <c r="I427" s="29">
        <v>0.72916666666666663</v>
      </c>
      <c r="J427" s="30">
        <f t="shared" si="102"/>
        <v>8.9999999999999964</v>
      </c>
      <c r="K427" s="83"/>
      <c r="L427" s="31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3.25" x14ac:dyDescent="0.35">
      <c r="A428" s="149"/>
      <c r="B428" s="146"/>
      <c r="C428" s="146"/>
      <c r="D428" s="27">
        <v>46098</v>
      </c>
      <c r="E428" s="28" t="s">
        <v>296</v>
      </c>
      <c r="F428" s="29">
        <v>0.33333333333333331</v>
      </c>
      <c r="G428" s="29">
        <v>0.54166666666666663</v>
      </c>
      <c r="H428" s="29">
        <v>0.58333333333333337</v>
      </c>
      <c r="I428" s="29">
        <v>0.70833333333333337</v>
      </c>
      <c r="J428" s="30">
        <f t="shared" si="102"/>
        <v>8</v>
      </c>
      <c r="K428" s="30">
        <f t="shared" ref="K428:K429" si="104">J428-8</f>
        <v>0</v>
      </c>
      <c r="L428" s="31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3.25" x14ac:dyDescent="0.35">
      <c r="A429" s="149"/>
      <c r="B429" s="146"/>
      <c r="C429" s="146"/>
      <c r="D429" s="27">
        <v>46099</v>
      </c>
      <c r="E429" s="28" t="s">
        <v>297</v>
      </c>
      <c r="F429" s="29">
        <v>0.3125</v>
      </c>
      <c r="G429" s="29">
        <v>0.54166666666666663</v>
      </c>
      <c r="H429" s="29">
        <v>0.58333333333333337</v>
      </c>
      <c r="I429" s="29">
        <v>0.72916666666666663</v>
      </c>
      <c r="J429" s="30">
        <f t="shared" si="102"/>
        <v>8.9999999999999964</v>
      </c>
      <c r="K429" s="32">
        <f t="shared" si="104"/>
        <v>0.99999999999999645</v>
      </c>
      <c r="L429" s="33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3.25" x14ac:dyDescent="0.35">
      <c r="A430" s="149"/>
      <c r="B430" s="146"/>
      <c r="C430" s="146"/>
      <c r="D430" s="27"/>
      <c r="E430" s="28"/>
      <c r="F430" s="28"/>
      <c r="G430" s="28"/>
      <c r="H430" s="26"/>
      <c r="I430" s="34" t="s">
        <v>298</v>
      </c>
      <c r="J430" s="35">
        <v>1200</v>
      </c>
      <c r="K430" s="34"/>
      <c r="L430" s="3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3.25" x14ac:dyDescent="0.35">
      <c r="A431" s="149"/>
      <c r="B431" s="146"/>
      <c r="C431" s="146"/>
      <c r="D431" s="27"/>
      <c r="E431" s="28"/>
      <c r="F431" s="28"/>
      <c r="G431" s="28"/>
      <c r="H431" s="37"/>
      <c r="I431" s="34" t="s">
        <v>299</v>
      </c>
      <c r="J431" s="35">
        <f>J430*(COUNTIF(J423:J429, "&gt;0.00"))</f>
        <v>6000</v>
      </c>
      <c r="K431" s="35">
        <f>(J430/8)*(SUM(K423:K429))</f>
        <v>299.99999999999949</v>
      </c>
      <c r="L431" s="36">
        <f>SUM(L423:L429)</f>
        <v>3750</v>
      </c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3.25" x14ac:dyDescent="0.35">
      <c r="A432" s="150"/>
      <c r="B432" s="147"/>
      <c r="C432" s="147"/>
      <c r="D432" s="38"/>
      <c r="E432" s="39"/>
      <c r="F432" s="39"/>
      <c r="G432" s="39"/>
      <c r="H432" s="40"/>
      <c r="I432" s="41" t="s">
        <v>300</v>
      </c>
      <c r="J432" s="42">
        <f>SUM(J431:K431)-L431</f>
        <v>2549.9999999999991</v>
      </c>
      <c r="K432" s="34"/>
      <c r="L432" s="3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3.25" x14ac:dyDescent="0.35">
      <c r="A433" s="43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44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46.5" x14ac:dyDescent="0.35">
      <c r="A434" s="22" t="s">
        <v>93</v>
      </c>
      <c r="B434" s="23" t="s">
        <v>94</v>
      </c>
      <c r="C434" s="23" t="s">
        <v>1</v>
      </c>
      <c r="D434" s="24" t="s">
        <v>284</v>
      </c>
      <c r="E434" s="24" t="s">
        <v>285</v>
      </c>
      <c r="F434" s="24" t="s">
        <v>286</v>
      </c>
      <c r="G434" s="24" t="s">
        <v>287</v>
      </c>
      <c r="H434" s="24" t="s">
        <v>286</v>
      </c>
      <c r="I434" s="24" t="s">
        <v>287</v>
      </c>
      <c r="J434" s="24" t="s">
        <v>288</v>
      </c>
      <c r="K434" s="24" t="s">
        <v>234</v>
      </c>
      <c r="L434" s="25" t="s">
        <v>302</v>
      </c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3.25" x14ac:dyDescent="0.35">
      <c r="A435" s="152" t="s">
        <v>356</v>
      </c>
      <c r="B435" s="151" t="s">
        <v>320</v>
      </c>
      <c r="C435" s="145" t="s">
        <v>16</v>
      </c>
      <c r="D435" s="27">
        <v>46093</v>
      </c>
      <c r="E435" s="28" t="s">
        <v>291</v>
      </c>
      <c r="F435" s="29"/>
      <c r="G435" s="29"/>
      <c r="H435" s="29"/>
      <c r="I435" s="29"/>
      <c r="J435" s="30">
        <f t="shared" ref="J435:J441" si="105">(((I435-H435)+(G435-F435))*24)</f>
        <v>0</v>
      </c>
      <c r="K435" s="28"/>
      <c r="L435" s="31">
        <v>750</v>
      </c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3.25" x14ac:dyDescent="0.35">
      <c r="A436" s="149"/>
      <c r="B436" s="146"/>
      <c r="C436" s="146"/>
      <c r="D436" s="27">
        <v>46094</v>
      </c>
      <c r="E436" s="28" t="s">
        <v>292</v>
      </c>
      <c r="F436" s="29">
        <v>0.29166666666666669</v>
      </c>
      <c r="G436" s="29">
        <v>0.54166666666666663</v>
      </c>
      <c r="H436" s="29">
        <v>0.58333333333333337</v>
      </c>
      <c r="I436" s="29">
        <v>0.76041666666666663</v>
      </c>
      <c r="J436" s="30">
        <f t="shared" si="105"/>
        <v>10.249999999999996</v>
      </c>
      <c r="K436" s="30">
        <f t="shared" ref="K436:K437" si="106">J436-8</f>
        <v>2.2499999999999964</v>
      </c>
      <c r="L436" s="31">
        <v>500</v>
      </c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3.25" x14ac:dyDescent="0.35">
      <c r="A437" s="149"/>
      <c r="B437" s="146"/>
      <c r="C437" s="146"/>
      <c r="D437" s="27">
        <v>46095</v>
      </c>
      <c r="E437" s="28" t="s">
        <v>293</v>
      </c>
      <c r="F437" s="29">
        <v>0.29166666666666669</v>
      </c>
      <c r="G437" s="29">
        <v>0.54166666666666663</v>
      </c>
      <c r="H437" s="29">
        <v>0.58333333333333337</v>
      </c>
      <c r="I437" s="29">
        <v>0.75</v>
      </c>
      <c r="J437" s="30">
        <f t="shared" si="105"/>
        <v>9.9999999999999982</v>
      </c>
      <c r="K437" s="30">
        <f t="shared" si="106"/>
        <v>1.9999999999999982</v>
      </c>
      <c r="L437" s="31">
        <v>1000</v>
      </c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3.25" x14ac:dyDescent="0.35">
      <c r="A438" s="149"/>
      <c r="B438" s="146"/>
      <c r="C438" s="146"/>
      <c r="D438" s="27">
        <v>46096</v>
      </c>
      <c r="E438" s="28" t="s">
        <v>294</v>
      </c>
      <c r="F438" s="29"/>
      <c r="G438" s="29"/>
      <c r="H438" s="29"/>
      <c r="I438" s="29"/>
      <c r="J438" s="30">
        <f t="shared" si="105"/>
        <v>0</v>
      </c>
      <c r="L438" s="31">
        <v>1500</v>
      </c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3.25" x14ac:dyDescent="0.35">
      <c r="A439" s="149"/>
      <c r="B439" s="146"/>
      <c r="C439" s="146"/>
      <c r="D439" s="27">
        <v>46097</v>
      </c>
      <c r="E439" s="28" t="s">
        <v>295</v>
      </c>
      <c r="F439" s="29">
        <v>0.29166666666666669</v>
      </c>
      <c r="G439" s="29">
        <v>0.54166666666666663</v>
      </c>
      <c r="H439" s="29">
        <v>0.58333333333333337</v>
      </c>
      <c r="I439" s="29">
        <v>0.75</v>
      </c>
      <c r="J439" s="30">
        <f t="shared" si="105"/>
        <v>9.9999999999999982</v>
      </c>
      <c r="K439" s="32">
        <f t="shared" ref="K439:K441" si="107">J439-8</f>
        <v>1.9999999999999982</v>
      </c>
      <c r="L439" s="31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3.25" x14ac:dyDescent="0.35">
      <c r="A440" s="149"/>
      <c r="B440" s="146"/>
      <c r="C440" s="146"/>
      <c r="D440" s="27">
        <v>46098</v>
      </c>
      <c r="E440" s="28" t="s">
        <v>296</v>
      </c>
      <c r="F440" s="29">
        <v>0.29166666666666669</v>
      </c>
      <c r="G440" s="29">
        <v>0.54166666666666663</v>
      </c>
      <c r="H440" s="29">
        <v>0.58333333333333337</v>
      </c>
      <c r="I440" s="29">
        <v>0.75</v>
      </c>
      <c r="J440" s="30">
        <f t="shared" si="105"/>
        <v>9.9999999999999982</v>
      </c>
      <c r="K440" s="30">
        <f t="shared" si="107"/>
        <v>1.9999999999999982</v>
      </c>
      <c r="L440" s="31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3.25" x14ac:dyDescent="0.35">
      <c r="A441" s="149"/>
      <c r="B441" s="146"/>
      <c r="C441" s="146"/>
      <c r="D441" s="27">
        <v>46099</v>
      </c>
      <c r="E441" s="28" t="s">
        <v>297</v>
      </c>
      <c r="F441" s="29">
        <v>0.29166666666666669</v>
      </c>
      <c r="G441" s="29">
        <v>0.54166666666666663</v>
      </c>
      <c r="H441" s="29">
        <v>0.58333333333333337</v>
      </c>
      <c r="I441" s="29">
        <v>0.66666666666666663</v>
      </c>
      <c r="J441" s="30">
        <f t="shared" si="105"/>
        <v>7.9999999999999964</v>
      </c>
      <c r="K441" s="32">
        <f t="shared" si="107"/>
        <v>0</v>
      </c>
      <c r="L441" s="33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3.25" x14ac:dyDescent="0.35">
      <c r="A442" s="149"/>
      <c r="B442" s="146"/>
      <c r="C442" s="146"/>
      <c r="D442" s="27"/>
      <c r="E442" s="28"/>
      <c r="F442" s="28"/>
      <c r="G442" s="28"/>
      <c r="H442" s="26"/>
      <c r="I442" s="34" t="s">
        <v>298</v>
      </c>
      <c r="J442" s="35">
        <v>1200</v>
      </c>
      <c r="K442" s="34"/>
      <c r="L442" s="3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3.25" x14ac:dyDescent="0.35">
      <c r="A443" s="149"/>
      <c r="B443" s="146"/>
      <c r="C443" s="146"/>
      <c r="D443" s="27"/>
      <c r="E443" s="28"/>
      <c r="F443" s="28"/>
      <c r="G443" s="28"/>
      <c r="H443" s="37"/>
      <c r="I443" s="34" t="s">
        <v>299</v>
      </c>
      <c r="J443" s="35">
        <f>J442*(COUNTIF(J435:J441, "&gt;0.00"))</f>
        <v>6000</v>
      </c>
      <c r="K443" s="35">
        <f>(J442/8)*(SUM(K435:K441))</f>
        <v>1237.4999999999986</v>
      </c>
      <c r="L443" s="36">
        <f>SUM(L435:L441)</f>
        <v>3750</v>
      </c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3.25" x14ac:dyDescent="0.35">
      <c r="A444" s="150"/>
      <c r="B444" s="147"/>
      <c r="C444" s="147"/>
      <c r="D444" s="38"/>
      <c r="E444" s="39"/>
      <c r="F444" s="39"/>
      <c r="G444" s="39"/>
      <c r="H444" s="40"/>
      <c r="I444" s="41" t="s">
        <v>300</v>
      </c>
      <c r="J444" s="42">
        <f>SUM(J443:K443)-L443</f>
        <v>3487.4999999999982</v>
      </c>
      <c r="K444" s="34"/>
      <c r="L444" s="3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3.25" x14ac:dyDescent="0.35">
      <c r="A445" s="43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44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46.5" x14ac:dyDescent="0.35">
      <c r="A446" s="22" t="s">
        <v>93</v>
      </c>
      <c r="B446" s="23" t="s">
        <v>94</v>
      </c>
      <c r="C446" s="23" t="s">
        <v>1</v>
      </c>
      <c r="D446" s="24" t="s">
        <v>284</v>
      </c>
      <c r="E446" s="24" t="s">
        <v>285</v>
      </c>
      <c r="F446" s="24" t="s">
        <v>286</v>
      </c>
      <c r="G446" s="24" t="s">
        <v>287</v>
      </c>
      <c r="H446" s="24" t="s">
        <v>286</v>
      </c>
      <c r="I446" s="24" t="s">
        <v>287</v>
      </c>
      <c r="J446" s="24" t="s">
        <v>288</v>
      </c>
      <c r="K446" s="24" t="s">
        <v>234</v>
      </c>
      <c r="L446" s="25" t="s">
        <v>302</v>
      </c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3.25" x14ac:dyDescent="0.35">
      <c r="A447" s="152" t="s">
        <v>321</v>
      </c>
      <c r="B447" s="151" t="s">
        <v>133</v>
      </c>
      <c r="C447" s="145" t="s">
        <v>111</v>
      </c>
      <c r="D447" s="27">
        <v>46093</v>
      </c>
      <c r="E447" s="28" t="s">
        <v>291</v>
      </c>
      <c r="F447" s="29"/>
      <c r="G447" s="29"/>
      <c r="H447" s="29"/>
      <c r="I447" s="29"/>
      <c r="J447" s="30">
        <f t="shared" ref="J447:J453" si="108">(((I447-H447)+(G447-F447))*24)</f>
        <v>0</v>
      </c>
      <c r="K447" s="28"/>
      <c r="L447" s="31">
        <v>750</v>
      </c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3.25" x14ac:dyDescent="0.35">
      <c r="A448" s="149"/>
      <c r="B448" s="146"/>
      <c r="C448" s="146"/>
      <c r="D448" s="27">
        <v>46094</v>
      </c>
      <c r="E448" s="28" t="s">
        <v>292</v>
      </c>
      <c r="F448" s="29">
        <v>0.3125</v>
      </c>
      <c r="G448" s="29">
        <v>0.54166666666666663</v>
      </c>
      <c r="H448" s="29">
        <v>0.58333333333333337</v>
      </c>
      <c r="I448" s="29">
        <v>0.72916666666666663</v>
      </c>
      <c r="J448" s="30">
        <f t="shared" si="108"/>
        <v>8.9999999999999964</v>
      </c>
      <c r="K448" s="30">
        <f t="shared" ref="K448:K449" si="109">J448-8</f>
        <v>0.99999999999999645</v>
      </c>
      <c r="L448" s="31">
        <v>500</v>
      </c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3.25" x14ac:dyDescent="0.35">
      <c r="A449" s="149"/>
      <c r="B449" s="146"/>
      <c r="C449" s="146"/>
      <c r="D449" s="27">
        <v>46095</v>
      </c>
      <c r="E449" s="28" t="s">
        <v>293</v>
      </c>
      <c r="F449" s="29">
        <v>0.3125</v>
      </c>
      <c r="G449" s="29">
        <v>0.54166666666666663</v>
      </c>
      <c r="H449" s="29">
        <v>0.58333333333333337</v>
      </c>
      <c r="I449" s="29">
        <v>0.72916666666666663</v>
      </c>
      <c r="J449" s="30">
        <f t="shared" si="108"/>
        <v>8.9999999999999964</v>
      </c>
      <c r="K449" s="30">
        <f t="shared" si="109"/>
        <v>0.99999999999999645</v>
      </c>
      <c r="L449" s="31">
        <v>1000</v>
      </c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3.25" x14ac:dyDescent="0.35">
      <c r="A450" s="149"/>
      <c r="B450" s="146"/>
      <c r="C450" s="146"/>
      <c r="D450" s="27">
        <v>46096</v>
      </c>
      <c r="E450" s="28" t="s">
        <v>294</v>
      </c>
      <c r="F450" s="29"/>
      <c r="G450" s="29"/>
      <c r="H450" s="29"/>
      <c r="I450" s="29"/>
      <c r="J450" s="30">
        <f t="shared" si="108"/>
        <v>0</v>
      </c>
      <c r="L450" s="31">
        <v>1500</v>
      </c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3.25" x14ac:dyDescent="0.35">
      <c r="A451" s="149"/>
      <c r="B451" s="146"/>
      <c r="C451" s="146"/>
      <c r="D451" s="27">
        <v>46097</v>
      </c>
      <c r="E451" s="28" t="s">
        <v>295</v>
      </c>
      <c r="F451" s="29">
        <v>0.3125</v>
      </c>
      <c r="G451" s="29">
        <v>0.54166666666666663</v>
      </c>
      <c r="H451" s="29">
        <v>0.58333333333333337</v>
      </c>
      <c r="I451" s="29">
        <v>0.72916666666666663</v>
      </c>
      <c r="J451" s="30">
        <f t="shared" si="108"/>
        <v>8.9999999999999964</v>
      </c>
      <c r="K451" s="83"/>
      <c r="L451" s="31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3.25" x14ac:dyDescent="0.35">
      <c r="A452" s="149"/>
      <c r="B452" s="146"/>
      <c r="C452" s="146"/>
      <c r="D452" s="27">
        <v>46098</v>
      </c>
      <c r="E452" s="28" t="s">
        <v>296</v>
      </c>
      <c r="F452" s="29">
        <v>0.33333333333333331</v>
      </c>
      <c r="G452" s="29">
        <v>0.54166666666666663</v>
      </c>
      <c r="H452" s="29">
        <v>0.58333333333333337</v>
      </c>
      <c r="I452" s="29">
        <v>0.70833333333333337</v>
      </c>
      <c r="J452" s="30">
        <f t="shared" si="108"/>
        <v>8</v>
      </c>
      <c r="K452" s="30">
        <f t="shared" ref="K452:K453" si="110">J452-8</f>
        <v>0</v>
      </c>
      <c r="L452" s="31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3.25" x14ac:dyDescent="0.35">
      <c r="A453" s="149"/>
      <c r="B453" s="146"/>
      <c r="C453" s="146"/>
      <c r="D453" s="27">
        <v>46099</v>
      </c>
      <c r="E453" s="28" t="s">
        <v>297</v>
      </c>
      <c r="F453" s="29">
        <v>0.3125</v>
      </c>
      <c r="G453" s="29">
        <v>0.54166666666666663</v>
      </c>
      <c r="H453" s="29">
        <v>0.58333333333333337</v>
      </c>
      <c r="I453" s="29">
        <v>0.72916666666666663</v>
      </c>
      <c r="J453" s="30">
        <f t="shared" si="108"/>
        <v>8.9999999999999964</v>
      </c>
      <c r="K453" s="32">
        <f t="shared" si="110"/>
        <v>0.99999999999999645</v>
      </c>
      <c r="L453" s="33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3.25" x14ac:dyDescent="0.35">
      <c r="A454" s="149"/>
      <c r="B454" s="146"/>
      <c r="C454" s="146"/>
      <c r="D454" s="27"/>
      <c r="E454" s="28"/>
      <c r="F454" s="28"/>
      <c r="G454" s="28"/>
      <c r="H454" s="26"/>
      <c r="I454" s="34" t="s">
        <v>298</v>
      </c>
      <c r="J454" s="35">
        <v>1000</v>
      </c>
      <c r="K454" s="34"/>
      <c r="L454" s="3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3.25" x14ac:dyDescent="0.35">
      <c r="A455" s="149"/>
      <c r="B455" s="146"/>
      <c r="C455" s="146"/>
      <c r="D455" s="27"/>
      <c r="E455" s="28"/>
      <c r="F455" s="28"/>
      <c r="G455" s="28"/>
      <c r="H455" s="37"/>
      <c r="I455" s="34" t="s">
        <v>299</v>
      </c>
      <c r="J455" s="35">
        <f>J454*(COUNTIF(J447:J453, "&gt;0.00"))</f>
        <v>5000</v>
      </c>
      <c r="K455" s="35">
        <f>(J454/8)*(SUM(K447:K453))</f>
        <v>374.99999999999869</v>
      </c>
      <c r="L455" s="36">
        <f>SUM(L447:L453)</f>
        <v>3750</v>
      </c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3.25" x14ac:dyDescent="0.35">
      <c r="A456" s="150"/>
      <c r="B456" s="147"/>
      <c r="C456" s="147"/>
      <c r="D456" s="38"/>
      <c r="E456" s="39"/>
      <c r="F456" s="39"/>
      <c r="G456" s="39"/>
      <c r="H456" s="40"/>
      <c r="I456" s="41" t="s">
        <v>300</v>
      </c>
      <c r="J456" s="42">
        <f>SUM(J455:K455)-L455</f>
        <v>1624.9999999999991</v>
      </c>
      <c r="K456" s="34"/>
      <c r="L456" s="3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3.25" x14ac:dyDescent="0.35">
      <c r="A457" s="43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44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46.5" x14ac:dyDescent="0.35">
      <c r="A458" s="22" t="s">
        <v>93</v>
      </c>
      <c r="B458" s="23" t="s">
        <v>94</v>
      </c>
      <c r="C458" s="23" t="s">
        <v>1</v>
      </c>
      <c r="D458" s="24" t="s">
        <v>284</v>
      </c>
      <c r="E458" s="24" t="s">
        <v>285</v>
      </c>
      <c r="F458" s="24" t="s">
        <v>286</v>
      </c>
      <c r="G458" s="24" t="s">
        <v>287</v>
      </c>
      <c r="H458" s="24" t="s">
        <v>286</v>
      </c>
      <c r="I458" s="24" t="s">
        <v>287</v>
      </c>
      <c r="J458" s="24" t="s">
        <v>288</v>
      </c>
      <c r="K458" s="24" t="s">
        <v>234</v>
      </c>
      <c r="L458" s="25" t="s">
        <v>302</v>
      </c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3.25" x14ac:dyDescent="0.35">
      <c r="A459" s="152" t="s">
        <v>322</v>
      </c>
      <c r="B459" s="151" t="s">
        <v>134</v>
      </c>
      <c r="C459" s="145" t="s">
        <v>110</v>
      </c>
      <c r="D459" s="27">
        <v>46093</v>
      </c>
      <c r="E459" s="28" t="s">
        <v>291</v>
      </c>
      <c r="F459" s="29"/>
      <c r="G459" s="29"/>
      <c r="H459" s="29"/>
      <c r="I459" s="29"/>
      <c r="J459" s="30">
        <f t="shared" ref="J459:J465" si="111">(((I459-H459)+(G459-F459))*24)</f>
        <v>0</v>
      </c>
      <c r="K459" s="28"/>
      <c r="L459" s="31">
        <v>750</v>
      </c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3.25" x14ac:dyDescent="0.35">
      <c r="A460" s="149"/>
      <c r="B460" s="146"/>
      <c r="C460" s="146"/>
      <c r="D460" s="27">
        <v>46094</v>
      </c>
      <c r="E460" s="28" t="s">
        <v>292</v>
      </c>
      <c r="F460" s="29">
        <v>0.3125</v>
      </c>
      <c r="G460" s="29">
        <v>0.54166666666666663</v>
      </c>
      <c r="H460" s="29">
        <v>0.58333333333333337</v>
      </c>
      <c r="I460" s="29">
        <v>0.70833333333333337</v>
      </c>
      <c r="J460" s="30">
        <f t="shared" si="111"/>
        <v>8.5</v>
      </c>
      <c r="K460" s="30">
        <f t="shared" ref="K460:K461" si="112">J460-8</f>
        <v>0.5</v>
      </c>
      <c r="L460" s="31">
        <v>500</v>
      </c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3.25" x14ac:dyDescent="0.35">
      <c r="A461" s="149"/>
      <c r="B461" s="146"/>
      <c r="C461" s="146"/>
      <c r="D461" s="27">
        <v>46095</v>
      </c>
      <c r="E461" s="28" t="s">
        <v>293</v>
      </c>
      <c r="F461" s="29">
        <v>0.3125</v>
      </c>
      <c r="G461" s="29">
        <v>0.54166666666666663</v>
      </c>
      <c r="H461" s="29">
        <v>0.58333333333333337</v>
      </c>
      <c r="I461" s="29">
        <v>0.72916666666666663</v>
      </c>
      <c r="J461" s="30">
        <f t="shared" si="111"/>
        <v>8.9999999999999964</v>
      </c>
      <c r="K461" s="30">
        <f t="shared" si="112"/>
        <v>0.99999999999999645</v>
      </c>
      <c r="L461" s="31">
        <v>1000</v>
      </c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3.25" x14ac:dyDescent="0.35">
      <c r="A462" s="149"/>
      <c r="B462" s="146"/>
      <c r="C462" s="146"/>
      <c r="D462" s="27">
        <v>46096</v>
      </c>
      <c r="E462" s="28" t="s">
        <v>294</v>
      </c>
      <c r="F462" s="29"/>
      <c r="G462" s="29"/>
      <c r="H462" s="29"/>
      <c r="I462" s="29"/>
      <c r="J462" s="30">
        <f t="shared" si="111"/>
        <v>0</v>
      </c>
      <c r="L462" s="31">
        <v>1500</v>
      </c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3.25" x14ac:dyDescent="0.35">
      <c r="A463" s="149"/>
      <c r="B463" s="146"/>
      <c r="C463" s="146"/>
      <c r="D463" s="27">
        <v>46097</v>
      </c>
      <c r="E463" s="28" t="s">
        <v>295</v>
      </c>
      <c r="F463" s="29"/>
      <c r="G463" s="29"/>
      <c r="H463" s="29"/>
      <c r="I463" s="29"/>
      <c r="J463" s="30">
        <f t="shared" si="111"/>
        <v>0</v>
      </c>
      <c r="K463" s="83"/>
      <c r="L463" s="31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3.25" x14ac:dyDescent="0.35">
      <c r="A464" s="149"/>
      <c r="B464" s="146"/>
      <c r="C464" s="146"/>
      <c r="D464" s="27">
        <v>46098</v>
      </c>
      <c r="E464" s="28" t="s">
        <v>296</v>
      </c>
      <c r="F464" s="29">
        <v>0.33333333333333331</v>
      </c>
      <c r="G464" s="29">
        <v>0.54166666666666663</v>
      </c>
      <c r="H464" s="29">
        <v>0.58333333333333337</v>
      </c>
      <c r="I464" s="29">
        <v>0.70833333333333337</v>
      </c>
      <c r="J464" s="30">
        <f t="shared" si="111"/>
        <v>8</v>
      </c>
      <c r="K464" s="30">
        <f t="shared" ref="K464:K465" si="113">J464-8</f>
        <v>0</v>
      </c>
      <c r="L464" s="31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3.25" x14ac:dyDescent="0.35">
      <c r="A465" s="149"/>
      <c r="B465" s="146"/>
      <c r="C465" s="146"/>
      <c r="D465" s="27">
        <v>46099</v>
      </c>
      <c r="E465" s="28" t="s">
        <v>297</v>
      </c>
      <c r="F465" s="29">
        <v>0.33333333333333331</v>
      </c>
      <c r="G465" s="29">
        <v>0.54166666666666663</v>
      </c>
      <c r="H465" s="29">
        <v>0.58333333333333337</v>
      </c>
      <c r="I465" s="29">
        <v>0.70833333333333337</v>
      </c>
      <c r="J465" s="30">
        <f t="shared" si="111"/>
        <v>8</v>
      </c>
      <c r="K465" s="32">
        <f t="shared" si="113"/>
        <v>0</v>
      </c>
      <c r="L465" s="33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3.25" x14ac:dyDescent="0.35">
      <c r="A466" s="149"/>
      <c r="B466" s="146"/>
      <c r="C466" s="146"/>
      <c r="D466" s="27"/>
      <c r="E466" s="28"/>
      <c r="F466" s="28"/>
      <c r="G466" s="28"/>
      <c r="H466" s="26"/>
      <c r="I466" s="34" t="s">
        <v>298</v>
      </c>
      <c r="J466" s="35">
        <v>1200</v>
      </c>
      <c r="K466" s="34"/>
      <c r="L466" s="3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3.25" x14ac:dyDescent="0.35">
      <c r="A467" s="149"/>
      <c r="B467" s="146"/>
      <c r="C467" s="146"/>
      <c r="D467" s="27"/>
      <c r="E467" s="28"/>
      <c r="F467" s="28"/>
      <c r="G467" s="28"/>
      <c r="H467" s="37"/>
      <c r="I467" s="34" t="s">
        <v>299</v>
      </c>
      <c r="J467" s="35">
        <f>J466*(COUNTIF(J459:J465, "&gt;0.00"))</f>
        <v>4800</v>
      </c>
      <c r="K467" s="35">
        <f>(J466/8)*(SUM(K459:K465))</f>
        <v>224.99999999999946</v>
      </c>
      <c r="L467" s="36">
        <f>SUM(L459:L465)</f>
        <v>3750</v>
      </c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3.25" x14ac:dyDescent="0.35">
      <c r="A468" s="150"/>
      <c r="B468" s="147"/>
      <c r="C468" s="147"/>
      <c r="D468" s="38"/>
      <c r="E468" s="39"/>
      <c r="F468" s="39"/>
      <c r="G468" s="39"/>
      <c r="H468" s="40"/>
      <c r="I468" s="41" t="s">
        <v>300</v>
      </c>
      <c r="J468" s="42">
        <f>SUM(J467:K467)-L467</f>
        <v>1274.9999999999991</v>
      </c>
      <c r="K468" s="34"/>
      <c r="L468" s="3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3.25" x14ac:dyDescent="0.35">
      <c r="A469" s="43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44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46.5" x14ac:dyDescent="0.35">
      <c r="A470" s="79" t="s">
        <v>93</v>
      </c>
      <c r="B470" s="23" t="s">
        <v>94</v>
      </c>
      <c r="C470" s="23" t="s">
        <v>1</v>
      </c>
      <c r="D470" s="24" t="s">
        <v>284</v>
      </c>
      <c r="E470" s="24" t="s">
        <v>285</v>
      </c>
      <c r="F470" s="24" t="s">
        <v>286</v>
      </c>
      <c r="G470" s="24" t="s">
        <v>287</v>
      </c>
      <c r="H470" s="24" t="s">
        <v>286</v>
      </c>
      <c r="I470" s="24" t="s">
        <v>287</v>
      </c>
      <c r="J470" s="24" t="s">
        <v>288</v>
      </c>
      <c r="K470" s="24" t="s">
        <v>234</v>
      </c>
      <c r="L470" s="80" t="s">
        <v>302</v>
      </c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3.25" x14ac:dyDescent="0.35">
      <c r="A471" s="148" t="s">
        <v>242</v>
      </c>
      <c r="B471" s="151" t="s">
        <v>119</v>
      </c>
      <c r="C471" s="145" t="s">
        <v>110</v>
      </c>
      <c r="D471" s="27">
        <v>46093</v>
      </c>
      <c r="E471" s="28" t="s">
        <v>291</v>
      </c>
      <c r="F471" s="29">
        <v>0.35416666666666669</v>
      </c>
      <c r="G471" s="29">
        <v>0.54166666666666663</v>
      </c>
      <c r="H471" s="29">
        <v>0.58333333333333337</v>
      </c>
      <c r="I471" s="29">
        <v>0.72916666666666663</v>
      </c>
      <c r="J471" s="30">
        <f t="shared" ref="J471:J477" si="114">(((I471-H471)+(G471-F471))*24)</f>
        <v>7.9999999999999964</v>
      </c>
      <c r="K471" s="30">
        <f t="shared" ref="K471:K472" si="115">J471-8</f>
        <v>0</v>
      </c>
      <c r="L471" s="81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3.25" x14ac:dyDescent="0.35">
      <c r="A472" s="149"/>
      <c r="B472" s="146"/>
      <c r="C472" s="146"/>
      <c r="D472" s="27">
        <v>46094</v>
      </c>
      <c r="E472" s="28" t="s">
        <v>292</v>
      </c>
      <c r="F472" s="29">
        <v>0.36458333333333331</v>
      </c>
      <c r="G472" s="29">
        <v>0.54166666666666663</v>
      </c>
      <c r="H472" s="29">
        <v>0.58333333333333337</v>
      </c>
      <c r="I472" s="29">
        <v>0.73958333333333337</v>
      </c>
      <c r="J472" s="30">
        <f t="shared" si="114"/>
        <v>8</v>
      </c>
      <c r="K472" s="30">
        <f t="shared" si="115"/>
        <v>0</v>
      </c>
      <c r="L472" s="81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3.25" x14ac:dyDescent="0.35">
      <c r="A473" s="149"/>
      <c r="B473" s="146"/>
      <c r="C473" s="146"/>
      <c r="D473" s="27">
        <v>46095</v>
      </c>
      <c r="E473" s="28" t="s">
        <v>293</v>
      </c>
      <c r="F473" s="29"/>
      <c r="G473" s="29"/>
      <c r="H473" s="29"/>
      <c r="I473" s="29"/>
      <c r="J473" s="30">
        <f t="shared" si="114"/>
        <v>0</v>
      </c>
      <c r="K473" s="28"/>
      <c r="L473" s="81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3.25" x14ac:dyDescent="0.35">
      <c r="A474" s="149"/>
      <c r="B474" s="146"/>
      <c r="C474" s="146"/>
      <c r="D474" s="27">
        <v>46096</v>
      </c>
      <c r="E474" s="28" t="s">
        <v>294</v>
      </c>
      <c r="F474" s="29"/>
      <c r="G474" s="29"/>
      <c r="H474" s="29"/>
      <c r="I474" s="29"/>
      <c r="J474" s="30">
        <f t="shared" si="114"/>
        <v>0</v>
      </c>
      <c r="K474" s="28"/>
      <c r="L474" s="81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3.25" x14ac:dyDescent="0.35">
      <c r="A475" s="149"/>
      <c r="B475" s="146"/>
      <c r="C475" s="146"/>
      <c r="D475" s="27">
        <v>46097</v>
      </c>
      <c r="E475" s="28" t="s">
        <v>295</v>
      </c>
      <c r="F475" s="29"/>
      <c r="G475" s="29"/>
      <c r="H475" s="29"/>
      <c r="I475" s="29"/>
      <c r="J475" s="30">
        <f t="shared" si="114"/>
        <v>0</v>
      </c>
      <c r="K475" s="28"/>
      <c r="L475" s="81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3.25" x14ac:dyDescent="0.35">
      <c r="A476" s="149"/>
      <c r="B476" s="146"/>
      <c r="C476" s="146"/>
      <c r="D476" s="27">
        <v>46098</v>
      </c>
      <c r="E476" s="28" t="s">
        <v>296</v>
      </c>
      <c r="F476" s="29">
        <v>0.35416666666666669</v>
      </c>
      <c r="G476" s="29">
        <v>0.54166666666666663</v>
      </c>
      <c r="H476" s="29">
        <v>0.58333333333333337</v>
      </c>
      <c r="I476" s="29">
        <v>0.72916666666666663</v>
      </c>
      <c r="J476" s="30">
        <f t="shared" si="114"/>
        <v>7.9999999999999964</v>
      </c>
      <c r="K476" s="30">
        <f t="shared" ref="K476:K477" si="116">J476-8</f>
        <v>0</v>
      </c>
      <c r="L476" s="81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3.25" x14ac:dyDescent="0.35">
      <c r="A477" s="149"/>
      <c r="B477" s="146"/>
      <c r="C477" s="146"/>
      <c r="D477" s="27">
        <v>46099</v>
      </c>
      <c r="E477" s="28" t="s">
        <v>297</v>
      </c>
      <c r="F477" s="29">
        <v>0.35416666666666669</v>
      </c>
      <c r="G477" s="29">
        <v>0.54166666666666663</v>
      </c>
      <c r="H477" s="29">
        <v>0.58333333333333337</v>
      </c>
      <c r="I477" s="29">
        <v>0.72916666666666663</v>
      </c>
      <c r="J477" s="30">
        <f t="shared" si="114"/>
        <v>7.9999999999999964</v>
      </c>
      <c r="K477" s="32">
        <f t="shared" si="116"/>
        <v>0</v>
      </c>
      <c r="L477" s="82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3.25" x14ac:dyDescent="0.35">
      <c r="A478" s="149"/>
      <c r="B478" s="146"/>
      <c r="C478" s="146"/>
      <c r="D478" s="27"/>
      <c r="E478" s="28"/>
      <c r="F478" s="28"/>
      <c r="G478" s="28"/>
      <c r="H478" s="26"/>
      <c r="I478" s="34" t="s">
        <v>298</v>
      </c>
      <c r="J478" s="35">
        <v>1000</v>
      </c>
      <c r="K478" s="34"/>
      <c r="L478" s="34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3.25" x14ac:dyDescent="0.35">
      <c r="A479" s="149"/>
      <c r="B479" s="146"/>
      <c r="C479" s="146"/>
      <c r="D479" s="27"/>
      <c r="E479" s="28"/>
      <c r="F479" s="28"/>
      <c r="G479" s="28"/>
      <c r="H479" s="37"/>
      <c r="I479" s="34" t="s">
        <v>299</v>
      </c>
      <c r="J479" s="35">
        <f>J478*(COUNTIF(J471:J477, "&gt;0.00"))</f>
        <v>4000</v>
      </c>
      <c r="K479" s="35">
        <f>(J478/8)*(SUM(K471:K477))</f>
        <v>0</v>
      </c>
      <c r="L479" s="34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3.25" x14ac:dyDescent="0.35">
      <c r="A480" s="150"/>
      <c r="B480" s="147"/>
      <c r="C480" s="147"/>
      <c r="D480" s="38"/>
      <c r="E480" s="39"/>
      <c r="F480" s="39"/>
      <c r="G480" s="39"/>
      <c r="H480" s="40"/>
      <c r="I480" s="41" t="s">
        <v>300</v>
      </c>
      <c r="J480" s="42">
        <f>SUM(J479:K479)</f>
        <v>4000</v>
      </c>
      <c r="K480" s="34"/>
      <c r="L480" s="34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3.25" x14ac:dyDescent="0.3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46.5" x14ac:dyDescent="0.35">
      <c r="A482" s="79" t="s">
        <v>93</v>
      </c>
      <c r="B482" s="23" t="s">
        <v>94</v>
      </c>
      <c r="C482" s="23" t="s">
        <v>1</v>
      </c>
      <c r="D482" s="24" t="s">
        <v>284</v>
      </c>
      <c r="E482" s="24" t="s">
        <v>285</v>
      </c>
      <c r="F482" s="24" t="s">
        <v>286</v>
      </c>
      <c r="G482" s="24" t="s">
        <v>287</v>
      </c>
      <c r="H482" s="24" t="s">
        <v>286</v>
      </c>
      <c r="I482" s="24" t="s">
        <v>287</v>
      </c>
      <c r="J482" s="24" t="s">
        <v>288</v>
      </c>
      <c r="K482" s="24" t="s">
        <v>234</v>
      </c>
      <c r="L482" s="80" t="s">
        <v>302</v>
      </c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3.25" x14ac:dyDescent="0.35">
      <c r="A483" s="152" t="s">
        <v>244</v>
      </c>
      <c r="B483" s="151" t="s">
        <v>121</v>
      </c>
      <c r="C483" s="145" t="s">
        <v>110</v>
      </c>
      <c r="D483" s="27">
        <v>46093</v>
      </c>
      <c r="E483" s="28" t="s">
        <v>291</v>
      </c>
      <c r="F483" s="29">
        <v>0.35416666666666669</v>
      </c>
      <c r="G483" s="29">
        <v>0.54166666666666663</v>
      </c>
      <c r="H483" s="29">
        <v>0.58333333333333337</v>
      </c>
      <c r="I483" s="29">
        <v>0.72916666666666663</v>
      </c>
      <c r="J483" s="30">
        <f t="shared" ref="J483:J489" si="117">(((I483-H483)+(G483-F483))*24)</f>
        <v>7.9999999999999964</v>
      </c>
      <c r="K483" s="30">
        <f t="shared" ref="K483:K484" si="118">J483-8</f>
        <v>0</v>
      </c>
      <c r="L483" s="81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3.25" x14ac:dyDescent="0.35">
      <c r="A484" s="149"/>
      <c r="B484" s="146"/>
      <c r="C484" s="146"/>
      <c r="D484" s="27">
        <v>46094</v>
      </c>
      <c r="E484" s="28" t="s">
        <v>292</v>
      </c>
      <c r="F484" s="29">
        <v>0.36458333333333331</v>
      </c>
      <c r="G484" s="29">
        <v>0.54166666666666663</v>
      </c>
      <c r="H484" s="29">
        <v>0.58333333333333337</v>
      </c>
      <c r="I484" s="29">
        <v>0.73958333333333337</v>
      </c>
      <c r="J484" s="30">
        <f t="shared" si="117"/>
        <v>8</v>
      </c>
      <c r="K484" s="30">
        <f t="shared" si="118"/>
        <v>0</v>
      </c>
      <c r="L484" s="81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3.25" x14ac:dyDescent="0.35">
      <c r="A485" s="149"/>
      <c r="B485" s="146"/>
      <c r="C485" s="146"/>
      <c r="D485" s="27">
        <v>46095</v>
      </c>
      <c r="E485" s="28" t="s">
        <v>293</v>
      </c>
      <c r="F485" s="29"/>
      <c r="G485" s="29"/>
      <c r="H485" s="29"/>
      <c r="I485" s="29"/>
      <c r="J485" s="30">
        <f t="shared" si="117"/>
        <v>0</v>
      </c>
      <c r="K485" s="28"/>
      <c r="L485" s="81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3.25" x14ac:dyDescent="0.35">
      <c r="A486" s="149"/>
      <c r="B486" s="146"/>
      <c r="C486" s="146"/>
      <c r="D486" s="27">
        <v>46096</v>
      </c>
      <c r="E486" s="28" t="s">
        <v>294</v>
      </c>
      <c r="F486" s="29"/>
      <c r="G486" s="29"/>
      <c r="H486" s="29"/>
      <c r="I486" s="29"/>
      <c r="J486" s="30">
        <f t="shared" si="117"/>
        <v>0</v>
      </c>
      <c r="K486" s="28"/>
      <c r="L486" s="81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3.25" x14ac:dyDescent="0.35">
      <c r="A487" s="149"/>
      <c r="B487" s="146"/>
      <c r="C487" s="146"/>
      <c r="D487" s="27">
        <v>46097</v>
      </c>
      <c r="E487" s="28" t="s">
        <v>295</v>
      </c>
      <c r="F487" s="29"/>
      <c r="G487" s="29"/>
      <c r="H487" s="29"/>
      <c r="I487" s="29"/>
      <c r="J487" s="30">
        <f t="shared" si="117"/>
        <v>0</v>
      </c>
      <c r="K487" s="28"/>
      <c r="L487" s="81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3.25" x14ac:dyDescent="0.35">
      <c r="A488" s="149"/>
      <c r="B488" s="146"/>
      <c r="C488" s="146"/>
      <c r="D488" s="27">
        <v>46098</v>
      </c>
      <c r="E488" s="28" t="s">
        <v>296</v>
      </c>
      <c r="F488" s="29">
        <v>0.35416666666666669</v>
      </c>
      <c r="G488" s="29">
        <v>0.54166666666666663</v>
      </c>
      <c r="H488" s="29">
        <v>0.58333333333333337</v>
      </c>
      <c r="I488" s="29">
        <v>0.72916666666666663</v>
      </c>
      <c r="J488" s="30">
        <f t="shared" si="117"/>
        <v>7.9999999999999964</v>
      </c>
      <c r="K488" s="30">
        <f t="shared" ref="K488:K489" si="119">J488-8</f>
        <v>0</v>
      </c>
      <c r="L488" s="81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3.25" x14ac:dyDescent="0.35">
      <c r="A489" s="149"/>
      <c r="B489" s="146"/>
      <c r="C489" s="146"/>
      <c r="D489" s="27">
        <v>46099</v>
      </c>
      <c r="E489" s="28" t="s">
        <v>297</v>
      </c>
      <c r="F489" s="29">
        <v>0.35416666666666669</v>
      </c>
      <c r="G489" s="29">
        <v>0.54166666666666663</v>
      </c>
      <c r="H489" s="29">
        <v>0.58333333333333337</v>
      </c>
      <c r="I489" s="29">
        <v>0.72916666666666663</v>
      </c>
      <c r="J489" s="30">
        <f t="shared" si="117"/>
        <v>7.9999999999999964</v>
      </c>
      <c r="K489" s="32">
        <f t="shared" si="119"/>
        <v>0</v>
      </c>
      <c r="L489" s="82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3.25" x14ac:dyDescent="0.35">
      <c r="A490" s="149"/>
      <c r="B490" s="146"/>
      <c r="C490" s="146"/>
      <c r="D490" s="27"/>
      <c r="E490" s="28"/>
      <c r="F490" s="28"/>
      <c r="G490" s="28"/>
      <c r="H490" s="26"/>
      <c r="I490" s="34" t="s">
        <v>298</v>
      </c>
      <c r="J490" s="35">
        <v>1000</v>
      </c>
      <c r="K490" s="34"/>
      <c r="L490" s="34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3.25" x14ac:dyDescent="0.35">
      <c r="A491" s="149"/>
      <c r="B491" s="146"/>
      <c r="C491" s="146"/>
      <c r="D491" s="27"/>
      <c r="E491" s="28"/>
      <c r="F491" s="28"/>
      <c r="G491" s="28"/>
      <c r="H491" s="37"/>
      <c r="I491" s="34" t="s">
        <v>299</v>
      </c>
      <c r="J491" s="35">
        <f>J490*(COUNTIF(J483:J489, "&gt;0.00"))</f>
        <v>4000</v>
      </c>
      <c r="K491" s="35">
        <f>(J490/8)*(SUM(K483:K489))</f>
        <v>0</v>
      </c>
      <c r="L491" s="34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3.25" x14ac:dyDescent="0.35">
      <c r="A492" s="150"/>
      <c r="B492" s="147"/>
      <c r="C492" s="147"/>
      <c r="D492" s="38"/>
      <c r="E492" s="39"/>
      <c r="F492" s="39"/>
      <c r="G492" s="39"/>
      <c r="H492" s="40"/>
      <c r="I492" s="41" t="s">
        <v>300</v>
      </c>
      <c r="J492" s="42">
        <f>SUM(J491:K491)</f>
        <v>4000</v>
      </c>
      <c r="K492" s="34"/>
      <c r="L492" s="34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3.25" x14ac:dyDescent="0.35">
      <c r="A493" s="43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44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46.5" x14ac:dyDescent="0.35">
      <c r="A494" s="79" t="s">
        <v>93</v>
      </c>
      <c r="B494" s="23" t="s">
        <v>94</v>
      </c>
      <c r="C494" s="23" t="s">
        <v>1</v>
      </c>
      <c r="D494" s="24" t="s">
        <v>284</v>
      </c>
      <c r="E494" s="24" t="s">
        <v>285</v>
      </c>
      <c r="F494" s="24" t="s">
        <v>286</v>
      </c>
      <c r="G494" s="24" t="s">
        <v>287</v>
      </c>
      <c r="H494" s="24" t="s">
        <v>286</v>
      </c>
      <c r="I494" s="24" t="s">
        <v>287</v>
      </c>
      <c r="J494" s="24" t="s">
        <v>288</v>
      </c>
      <c r="K494" s="24" t="s">
        <v>234</v>
      </c>
      <c r="L494" s="80" t="s">
        <v>302</v>
      </c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3.25" x14ac:dyDescent="0.35">
      <c r="A495" s="152" t="s">
        <v>322</v>
      </c>
      <c r="B495" s="151" t="s">
        <v>357</v>
      </c>
      <c r="C495" s="145" t="s">
        <v>110</v>
      </c>
      <c r="D495" s="27">
        <v>46093</v>
      </c>
      <c r="E495" s="28" t="s">
        <v>291</v>
      </c>
      <c r="F495" s="29"/>
      <c r="G495" s="29"/>
      <c r="H495" s="29"/>
      <c r="I495" s="29"/>
      <c r="J495" s="30">
        <f t="shared" ref="J495:J501" si="120">(((I495-H495)+(G495-F495))*24)</f>
        <v>0</v>
      </c>
      <c r="K495" s="28"/>
      <c r="L495" s="81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3.25" x14ac:dyDescent="0.35">
      <c r="A496" s="149"/>
      <c r="B496" s="146"/>
      <c r="C496" s="146"/>
      <c r="D496" s="27">
        <v>46094</v>
      </c>
      <c r="E496" s="28" t="s">
        <v>292</v>
      </c>
      <c r="F496" s="29"/>
      <c r="G496" s="29"/>
      <c r="H496" s="29"/>
      <c r="I496" s="29"/>
      <c r="J496" s="30">
        <f t="shared" si="120"/>
        <v>0</v>
      </c>
      <c r="K496" s="28"/>
      <c r="L496" s="81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3.25" x14ac:dyDescent="0.35">
      <c r="A497" s="149"/>
      <c r="B497" s="146"/>
      <c r="C497" s="146"/>
      <c r="D497" s="27">
        <v>46095</v>
      </c>
      <c r="E497" s="28" t="s">
        <v>293</v>
      </c>
      <c r="F497" s="29"/>
      <c r="G497" s="29"/>
      <c r="H497" s="29"/>
      <c r="I497" s="29"/>
      <c r="J497" s="30">
        <f t="shared" si="120"/>
        <v>0</v>
      </c>
      <c r="K497" s="28"/>
      <c r="L497" s="81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3.25" x14ac:dyDescent="0.35">
      <c r="A498" s="149"/>
      <c r="B498" s="146"/>
      <c r="C498" s="146"/>
      <c r="D498" s="27">
        <v>46096</v>
      </c>
      <c r="E498" s="28" t="s">
        <v>294</v>
      </c>
      <c r="F498" s="29"/>
      <c r="G498" s="29"/>
      <c r="H498" s="29"/>
      <c r="I498" s="29"/>
      <c r="J498" s="30">
        <f t="shared" si="120"/>
        <v>0</v>
      </c>
      <c r="K498" s="28"/>
      <c r="L498" s="81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3.25" x14ac:dyDescent="0.35">
      <c r="A499" s="149"/>
      <c r="B499" s="146"/>
      <c r="C499" s="146"/>
      <c r="D499" s="27">
        <v>46097</v>
      </c>
      <c r="E499" s="28" t="s">
        <v>295</v>
      </c>
      <c r="F499" s="29"/>
      <c r="G499" s="29"/>
      <c r="H499" s="29"/>
      <c r="I499" s="29"/>
      <c r="J499" s="30">
        <f t="shared" si="120"/>
        <v>0</v>
      </c>
      <c r="K499" s="28"/>
      <c r="L499" s="81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3.25" x14ac:dyDescent="0.35">
      <c r="A500" s="149"/>
      <c r="B500" s="146"/>
      <c r="C500" s="146"/>
      <c r="D500" s="27">
        <v>46098</v>
      </c>
      <c r="E500" s="28" t="s">
        <v>296</v>
      </c>
      <c r="F500" s="29"/>
      <c r="G500" s="29"/>
      <c r="H500" s="29"/>
      <c r="I500" s="29"/>
      <c r="J500" s="30">
        <f t="shared" si="120"/>
        <v>0</v>
      </c>
      <c r="K500" s="28"/>
      <c r="L500" s="81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3.25" x14ac:dyDescent="0.35">
      <c r="A501" s="149"/>
      <c r="B501" s="146"/>
      <c r="C501" s="146"/>
      <c r="D501" s="27">
        <v>46099</v>
      </c>
      <c r="E501" s="28" t="s">
        <v>297</v>
      </c>
      <c r="F501" s="29">
        <v>0.35416666666666669</v>
      </c>
      <c r="G501" s="29">
        <v>0.54166666666666663</v>
      </c>
      <c r="H501" s="29">
        <v>0.58333333333333337</v>
      </c>
      <c r="I501" s="29">
        <v>0.72916666666666663</v>
      </c>
      <c r="J501" s="30">
        <f t="shared" si="120"/>
        <v>7.9999999999999964</v>
      </c>
      <c r="K501" s="32">
        <f>J501-8</f>
        <v>0</v>
      </c>
      <c r="L501" s="82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3.25" x14ac:dyDescent="0.35">
      <c r="A502" s="149"/>
      <c r="B502" s="146"/>
      <c r="C502" s="146"/>
      <c r="D502" s="27"/>
      <c r="E502" s="28"/>
      <c r="F502" s="28"/>
      <c r="G502" s="28"/>
      <c r="H502" s="26"/>
      <c r="I502" s="34" t="s">
        <v>298</v>
      </c>
      <c r="J502" s="35">
        <v>1000</v>
      </c>
      <c r="K502" s="34"/>
      <c r="L502" s="34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3.25" x14ac:dyDescent="0.35">
      <c r="A503" s="149"/>
      <c r="B503" s="146"/>
      <c r="C503" s="146"/>
      <c r="D503" s="27"/>
      <c r="E503" s="28"/>
      <c r="F503" s="28"/>
      <c r="G503" s="28"/>
      <c r="H503" s="37"/>
      <c r="I503" s="34" t="s">
        <v>299</v>
      </c>
      <c r="J503" s="35">
        <f>J502*(COUNTIF(J495:J501, "&gt;0.00"))</f>
        <v>1000</v>
      </c>
      <c r="K503" s="35">
        <f>(J502/8)*(SUM(K495:K501))</f>
        <v>0</v>
      </c>
      <c r="L503" s="34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3.25" x14ac:dyDescent="0.35">
      <c r="A504" s="150"/>
      <c r="B504" s="147"/>
      <c r="C504" s="147"/>
      <c r="D504" s="38"/>
      <c r="E504" s="39"/>
      <c r="F504" s="39"/>
      <c r="G504" s="39"/>
      <c r="H504" s="40"/>
      <c r="I504" s="41" t="s">
        <v>300</v>
      </c>
      <c r="J504" s="42">
        <f>SUM(J503:K503)</f>
        <v>1000</v>
      </c>
      <c r="K504" s="34"/>
      <c r="L504" s="34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3.25" x14ac:dyDescent="0.35">
      <c r="A505" s="43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44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46.5" x14ac:dyDescent="0.35">
      <c r="A506" s="79" t="s">
        <v>93</v>
      </c>
      <c r="B506" s="23" t="s">
        <v>94</v>
      </c>
      <c r="C506" s="23" t="s">
        <v>1</v>
      </c>
      <c r="D506" s="24" t="s">
        <v>284</v>
      </c>
      <c r="E506" s="24" t="s">
        <v>285</v>
      </c>
      <c r="F506" s="24" t="s">
        <v>286</v>
      </c>
      <c r="G506" s="24" t="s">
        <v>287</v>
      </c>
      <c r="H506" s="24" t="s">
        <v>286</v>
      </c>
      <c r="I506" s="24" t="s">
        <v>287</v>
      </c>
      <c r="J506" s="24" t="s">
        <v>288</v>
      </c>
      <c r="K506" s="24" t="s">
        <v>234</v>
      </c>
      <c r="L506" s="80" t="s">
        <v>302</v>
      </c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3.25" x14ac:dyDescent="0.35">
      <c r="A507" s="152" t="s">
        <v>358</v>
      </c>
      <c r="B507" s="151" t="s">
        <v>359</v>
      </c>
      <c r="C507" s="145" t="s">
        <v>111</v>
      </c>
      <c r="D507" s="27">
        <v>46093</v>
      </c>
      <c r="E507" s="28" t="s">
        <v>291</v>
      </c>
      <c r="F507" s="29"/>
      <c r="G507" s="29"/>
      <c r="H507" s="29"/>
      <c r="I507" s="29"/>
      <c r="J507" s="30">
        <f t="shared" ref="J507:J513" si="121">(((I507-H507)+(G507-F507))*24)</f>
        <v>0</v>
      </c>
      <c r="K507" s="28"/>
      <c r="L507" s="81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3.25" x14ac:dyDescent="0.35">
      <c r="A508" s="149"/>
      <c r="B508" s="146"/>
      <c r="C508" s="146"/>
      <c r="D508" s="27">
        <v>46094</v>
      </c>
      <c r="E508" s="28" t="s">
        <v>292</v>
      </c>
      <c r="F508" s="29"/>
      <c r="G508" s="29"/>
      <c r="H508" s="29"/>
      <c r="I508" s="29"/>
      <c r="J508" s="30">
        <f t="shared" si="121"/>
        <v>0</v>
      </c>
      <c r="K508" s="28"/>
      <c r="L508" s="81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3.25" x14ac:dyDescent="0.35">
      <c r="A509" s="149"/>
      <c r="B509" s="146"/>
      <c r="C509" s="146"/>
      <c r="D509" s="27">
        <v>46095</v>
      </c>
      <c r="E509" s="28" t="s">
        <v>293</v>
      </c>
      <c r="F509" s="29"/>
      <c r="G509" s="29"/>
      <c r="H509" s="29"/>
      <c r="I509" s="29"/>
      <c r="J509" s="30">
        <f t="shared" si="121"/>
        <v>0</v>
      </c>
      <c r="K509" s="28"/>
      <c r="L509" s="81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3.25" x14ac:dyDescent="0.35">
      <c r="A510" s="149"/>
      <c r="B510" s="146"/>
      <c r="C510" s="146"/>
      <c r="D510" s="27">
        <v>46096</v>
      </c>
      <c r="E510" s="28" t="s">
        <v>294</v>
      </c>
      <c r="F510" s="29"/>
      <c r="G510" s="29"/>
      <c r="H510" s="29"/>
      <c r="I510" s="29"/>
      <c r="J510" s="30">
        <f t="shared" si="121"/>
        <v>0</v>
      </c>
      <c r="K510" s="28"/>
      <c r="L510" s="81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3.25" x14ac:dyDescent="0.35">
      <c r="A511" s="149"/>
      <c r="B511" s="146"/>
      <c r="C511" s="146"/>
      <c r="D511" s="27">
        <v>46097</v>
      </c>
      <c r="E511" s="28" t="s">
        <v>295</v>
      </c>
      <c r="F511" s="29"/>
      <c r="G511" s="29"/>
      <c r="H511" s="29"/>
      <c r="I511" s="29"/>
      <c r="J511" s="30">
        <f t="shared" si="121"/>
        <v>0</v>
      </c>
      <c r="K511" s="28"/>
      <c r="L511" s="81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3.25" x14ac:dyDescent="0.35">
      <c r="A512" s="149"/>
      <c r="B512" s="146"/>
      <c r="C512" s="146"/>
      <c r="D512" s="27">
        <v>46098</v>
      </c>
      <c r="E512" s="28" t="s">
        <v>296</v>
      </c>
      <c r="F512" s="29"/>
      <c r="G512" s="29"/>
      <c r="H512" s="29"/>
      <c r="I512" s="29"/>
      <c r="J512" s="30">
        <f t="shared" si="121"/>
        <v>0</v>
      </c>
      <c r="K512" s="28"/>
      <c r="L512" s="81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3.25" x14ac:dyDescent="0.35">
      <c r="A513" s="149"/>
      <c r="B513" s="146"/>
      <c r="C513" s="146"/>
      <c r="D513" s="27">
        <v>46099</v>
      </c>
      <c r="E513" s="28" t="s">
        <v>297</v>
      </c>
      <c r="F513" s="29">
        <v>0.35416666666666669</v>
      </c>
      <c r="G513" s="29">
        <v>0.54166666666666663</v>
      </c>
      <c r="H513" s="29">
        <v>0.58333333333333337</v>
      </c>
      <c r="I513" s="29">
        <v>0.72916666666666663</v>
      </c>
      <c r="J513" s="30">
        <f t="shared" si="121"/>
        <v>7.9999999999999964</v>
      </c>
      <c r="K513" s="32">
        <f>J513-8</f>
        <v>0</v>
      </c>
      <c r="L513" s="82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3.25" x14ac:dyDescent="0.35">
      <c r="A514" s="149"/>
      <c r="B514" s="146"/>
      <c r="C514" s="146"/>
      <c r="D514" s="27"/>
      <c r="E514" s="28"/>
      <c r="F514" s="28"/>
      <c r="G514" s="28"/>
      <c r="H514" s="26"/>
      <c r="I514" s="34" t="s">
        <v>298</v>
      </c>
      <c r="J514" s="35">
        <v>800</v>
      </c>
      <c r="K514" s="34"/>
      <c r="L514" s="34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3.25" x14ac:dyDescent="0.35">
      <c r="A515" s="149"/>
      <c r="B515" s="146"/>
      <c r="C515" s="146"/>
      <c r="D515" s="27"/>
      <c r="E515" s="28"/>
      <c r="F515" s="28"/>
      <c r="G515" s="28"/>
      <c r="H515" s="37"/>
      <c r="I515" s="34" t="s">
        <v>299</v>
      </c>
      <c r="J515" s="35">
        <f>J514*(COUNTIF(J507:J513, "&gt;0.00"))</f>
        <v>800</v>
      </c>
      <c r="K515" s="35">
        <f>(J514/8)*(SUM(K507:K513))</f>
        <v>0</v>
      </c>
      <c r="L515" s="34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3.25" x14ac:dyDescent="0.35">
      <c r="A516" s="150"/>
      <c r="B516" s="147"/>
      <c r="C516" s="147"/>
      <c r="D516" s="38"/>
      <c r="E516" s="39"/>
      <c r="F516" s="39"/>
      <c r="G516" s="39"/>
      <c r="H516" s="40"/>
      <c r="I516" s="41" t="s">
        <v>300</v>
      </c>
      <c r="J516" s="42">
        <f>SUM(J515:K515)</f>
        <v>800</v>
      </c>
      <c r="K516" s="34"/>
      <c r="L516" s="34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3.25" x14ac:dyDescent="0.35">
      <c r="A517" s="43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44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46.5" x14ac:dyDescent="0.35">
      <c r="A518" s="79" t="s">
        <v>93</v>
      </c>
      <c r="B518" s="23" t="s">
        <v>94</v>
      </c>
      <c r="C518" s="23" t="s">
        <v>1</v>
      </c>
      <c r="D518" s="24" t="s">
        <v>284</v>
      </c>
      <c r="E518" s="24" t="s">
        <v>285</v>
      </c>
      <c r="F518" s="24" t="s">
        <v>286</v>
      </c>
      <c r="G518" s="24" t="s">
        <v>287</v>
      </c>
      <c r="H518" s="24" t="s">
        <v>286</v>
      </c>
      <c r="I518" s="24" t="s">
        <v>287</v>
      </c>
      <c r="J518" s="24" t="s">
        <v>288</v>
      </c>
      <c r="K518" s="24" t="s">
        <v>234</v>
      </c>
      <c r="L518" s="80" t="s">
        <v>302</v>
      </c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3.25" x14ac:dyDescent="0.35">
      <c r="A519" s="152" t="s">
        <v>51</v>
      </c>
      <c r="B519" s="145" t="s">
        <v>52</v>
      </c>
      <c r="C519" s="145" t="s">
        <v>54</v>
      </c>
      <c r="D519" s="27">
        <v>46093</v>
      </c>
      <c r="E519" s="28" t="s">
        <v>291</v>
      </c>
      <c r="F519" s="29">
        <v>0.33333333333333331</v>
      </c>
      <c r="G519" s="29">
        <v>0.54166666666666663</v>
      </c>
      <c r="H519" s="29">
        <v>0.58333333333333337</v>
      </c>
      <c r="I519" s="29">
        <v>0.75</v>
      </c>
      <c r="J519" s="30">
        <f t="shared" ref="J519:J525" si="122">(((I519-H519)+(G519-F519))*24)</f>
        <v>8.9999999999999982</v>
      </c>
      <c r="K519" s="32">
        <f t="shared" ref="K519:K521" si="123">J519-8</f>
        <v>0.99999999999999822</v>
      </c>
      <c r="L519" s="81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3.25" x14ac:dyDescent="0.35">
      <c r="A520" s="149"/>
      <c r="B520" s="146"/>
      <c r="C520" s="146"/>
      <c r="D520" s="27">
        <v>46094</v>
      </c>
      <c r="E520" s="28" t="s">
        <v>292</v>
      </c>
      <c r="F520" s="29">
        <v>0.33333333333333331</v>
      </c>
      <c r="G520" s="29">
        <v>0.54166666666666663</v>
      </c>
      <c r="H520" s="29">
        <v>0.58333333333333337</v>
      </c>
      <c r="I520" s="29">
        <v>0.70833333333333337</v>
      </c>
      <c r="J520" s="30">
        <f t="shared" si="122"/>
        <v>8</v>
      </c>
      <c r="K520" s="32">
        <f t="shared" si="123"/>
        <v>0</v>
      </c>
      <c r="L520" s="81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3.25" x14ac:dyDescent="0.35">
      <c r="A521" s="149"/>
      <c r="B521" s="146"/>
      <c r="C521" s="146"/>
      <c r="D521" s="27">
        <v>46095</v>
      </c>
      <c r="E521" s="28" t="s">
        <v>293</v>
      </c>
      <c r="F521" s="29">
        <v>0.33333333333333331</v>
      </c>
      <c r="G521" s="29">
        <v>0.54166666666666663</v>
      </c>
      <c r="H521" s="29">
        <v>0.58333333333333337</v>
      </c>
      <c r="I521" s="29">
        <v>0.70833333333333337</v>
      </c>
      <c r="J521" s="30">
        <f t="shared" si="122"/>
        <v>8</v>
      </c>
      <c r="K521" s="32">
        <f t="shared" si="123"/>
        <v>0</v>
      </c>
      <c r="L521" s="81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3.25" x14ac:dyDescent="0.35">
      <c r="A522" s="149"/>
      <c r="B522" s="146"/>
      <c r="C522" s="146"/>
      <c r="D522" s="27">
        <v>46096</v>
      </c>
      <c r="E522" s="28" t="s">
        <v>294</v>
      </c>
      <c r="F522" s="29"/>
      <c r="G522" s="29"/>
      <c r="H522" s="29"/>
      <c r="I522" s="29"/>
      <c r="J522" s="30">
        <f t="shared" si="122"/>
        <v>0</v>
      </c>
      <c r="K522" s="83"/>
      <c r="L522" s="81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3.25" x14ac:dyDescent="0.35">
      <c r="A523" s="149"/>
      <c r="B523" s="146"/>
      <c r="C523" s="146"/>
      <c r="D523" s="27">
        <v>46097</v>
      </c>
      <c r="E523" s="28" t="s">
        <v>295</v>
      </c>
      <c r="F523" s="29"/>
      <c r="G523" s="29"/>
      <c r="H523" s="29"/>
      <c r="I523" s="29"/>
      <c r="J523" s="30">
        <f t="shared" si="122"/>
        <v>0</v>
      </c>
      <c r="K523" s="83"/>
      <c r="L523" s="81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3.25" x14ac:dyDescent="0.35">
      <c r="A524" s="149"/>
      <c r="B524" s="146"/>
      <c r="C524" s="146"/>
      <c r="D524" s="27">
        <v>46098</v>
      </c>
      <c r="E524" s="28" t="s">
        <v>296</v>
      </c>
      <c r="F524" s="29">
        <v>0.33333333333333331</v>
      </c>
      <c r="G524" s="29">
        <v>0.54166666666666663</v>
      </c>
      <c r="H524" s="29">
        <v>0.58333333333333337</v>
      </c>
      <c r="I524" s="29">
        <v>0.70833333333333337</v>
      </c>
      <c r="J524" s="30">
        <f t="shared" si="122"/>
        <v>8</v>
      </c>
      <c r="K524" s="32">
        <f t="shared" ref="K524:K525" si="124">J524-8</f>
        <v>0</v>
      </c>
      <c r="L524" s="81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3.25" x14ac:dyDescent="0.35">
      <c r="A525" s="149"/>
      <c r="B525" s="146"/>
      <c r="C525" s="146"/>
      <c r="D525" s="27">
        <v>46099</v>
      </c>
      <c r="E525" s="28" t="s">
        <v>297</v>
      </c>
      <c r="F525" s="29">
        <v>0.33333333333333331</v>
      </c>
      <c r="G525" s="29">
        <v>0.54166666666666663</v>
      </c>
      <c r="H525" s="29"/>
      <c r="I525" s="29"/>
      <c r="J525" s="30">
        <f t="shared" si="122"/>
        <v>5</v>
      </c>
      <c r="K525" s="32">
        <f t="shared" si="124"/>
        <v>-3</v>
      </c>
      <c r="L525" s="82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3.25" x14ac:dyDescent="0.35">
      <c r="A526" s="149"/>
      <c r="B526" s="146"/>
      <c r="C526" s="146"/>
      <c r="D526" s="27"/>
      <c r="E526" s="28"/>
      <c r="F526" s="28"/>
      <c r="G526" s="28"/>
      <c r="H526" s="26"/>
      <c r="I526" s="34" t="s">
        <v>298</v>
      </c>
      <c r="J526" s="35">
        <v>1250</v>
      </c>
      <c r="K526" s="34"/>
      <c r="L526" s="34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3.25" x14ac:dyDescent="0.35">
      <c r="A527" s="149"/>
      <c r="B527" s="146"/>
      <c r="C527" s="146"/>
      <c r="D527" s="27"/>
      <c r="E527" s="28"/>
      <c r="F527" s="28"/>
      <c r="G527" s="28"/>
      <c r="H527" s="37"/>
      <c r="I527" s="34" t="s">
        <v>299</v>
      </c>
      <c r="J527" s="35">
        <f>J526*(COUNTIF(J519:J525, "&gt;0.00"))</f>
        <v>6250</v>
      </c>
      <c r="K527" s="35">
        <f>(J526/8)*(SUM(K519:K525))</f>
        <v>-312.50000000000028</v>
      </c>
      <c r="L527" s="34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3.25" x14ac:dyDescent="0.35">
      <c r="A528" s="150"/>
      <c r="B528" s="147"/>
      <c r="C528" s="147"/>
      <c r="D528" s="38"/>
      <c r="E528" s="39"/>
      <c r="F528" s="39"/>
      <c r="G528" s="39"/>
      <c r="H528" s="40"/>
      <c r="I528" s="41" t="s">
        <v>300</v>
      </c>
      <c r="J528" s="42">
        <f>SUM(J527:K527)</f>
        <v>5937.5</v>
      </c>
      <c r="K528" s="34"/>
      <c r="L528" s="34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3.25" x14ac:dyDescent="0.35">
      <c r="A529" s="84"/>
      <c r="B529" s="85"/>
      <c r="C529" s="84"/>
      <c r="D529" s="26"/>
      <c r="E529" s="26"/>
      <c r="F529" s="26"/>
      <c r="G529" s="26"/>
      <c r="H529" s="26"/>
      <c r="I529" s="68"/>
      <c r="J529" s="68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</sheetData>
  <mergeCells count="132">
    <mergeCell ref="B351:B360"/>
    <mergeCell ref="C351:C360"/>
    <mergeCell ref="A327:A336"/>
    <mergeCell ref="B327:B336"/>
    <mergeCell ref="C327:C336"/>
    <mergeCell ref="A339:A348"/>
    <mergeCell ref="B339:B348"/>
    <mergeCell ref="C339:C348"/>
    <mergeCell ref="A351:A360"/>
    <mergeCell ref="B315:B324"/>
    <mergeCell ref="C315:C324"/>
    <mergeCell ref="A291:A300"/>
    <mergeCell ref="B291:B300"/>
    <mergeCell ref="C291:C300"/>
    <mergeCell ref="A303:A312"/>
    <mergeCell ref="B303:B312"/>
    <mergeCell ref="C303:C312"/>
    <mergeCell ref="A315:A324"/>
    <mergeCell ref="B279:B288"/>
    <mergeCell ref="C279:C288"/>
    <mergeCell ref="A255:A264"/>
    <mergeCell ref="B255:B264"/>
    <mergeCell ref="C255:C264"/>
    <mergeCell ref="A267:A276"/>
    <mergeCell ref="B267:B276"/>
    <mergeCell ref="C267:C276"/>
    <mergeCell ref="A279:A288"/>
    <mergeCell ref="B243:B252"/>
    <mergeCell ref="C243:C252"/>
    <mergeCell ref="A219:A228"/>
    <mergeCell ref="B219:B228"/>
    <mergeCell ref="C219:C228"/>
    <mergeCell ref="A231:A240"/>
    <mergeCell ref="B231:B240"/>
    <mergeCell ref="C231:C240"/>
    <mergeCell ref="A243:A252"/>
    <mergeCell ref="B207:B216"/>
    <mergeCell ref="C207:C216"/>
    <mergeCell ref="A183:A192"/>
    <mergeCell ref="B183:B192"/>
    <mergeCell ref="C183:C192"/>
    <mergeCell ref="A195:A204"/>
    <mergeCell ref="B195:B204"/>
    <mergeCell ref="C195:C204"/>
    <mergeCell ref="A207:A216"/>
    <mergeCell ref="A507:A516"/>
    <mergeCell ref="B507:B516"/>
    <mergeCell ref="C507:C516"/>
    <mergeCell ref="A519:A528"/>
    <mergeCell ref="B519:B528"/>
    <mergeCell ref="C519:C528"/>
    <mergeCell ref="B135:B144"/>
    <mergeCell ref="C135:C144"/>
    <mergeCell ref="A111:A120"/>
    <mergeCell ref="B111:B120"/>
    <mergeCell ref="C111:C120"/>
    <mergeCell ref="A123:A132"/>
    <mergeCell ref="B123:B132"/>
    <mergeCell ref="C123:C132"/>
    <mergeCell ref="A135:A144"/>
    <mergeCell ref="B171:B180"/>
    <mergeCell ref="C171:C180"/>
    <mergeCell ref="A147:A156"/>
    <mergeCell ref="B147:B156"/>
    <mergeCell ref="C147:C156"/>
    <mergeCell ref="A159:A168"/>
    <mergeCell ref="B159:B168"/>
    <mergeCell ref="C159:C168"/>
    <mergeCell ref="A171:A180"/>
    <mergeCell ref="B99:B108"/>
    <mergeCell ref="C99:C108"/>
    <mergeCell ref="A75:A84"/>
    <mergeCell ref="B75:B84"/>
    <mergeCell ref="C75:C84"/>
    <mergeCell ref="A87:A96"/>
    <mergeCell ref="B87:B96"/>
    <mergeCell ref="C87:C96"/>
    <mergeCell ref="A99:A108"/>
    <mergeCell ref="B63:B72"/>
    <mergeCell ref="C63:C72"/>
    <mergeCell ref="A39:A48"/>
    <mergeCell ref="B39:B48"/>
    <mergeCell ref="C39:C48"/>
    <mergeCell ref="A51:A60"/>
    <mergeCell ref="B51:B60"/>
    <mergeCell ref="C51:C60"/>
    <mergeCell ref="A63:A72"/>
    <mergeCell ref="B27:B36"/>
    <mergeCell ref="C27:C36"/>
    <mergeCell ref="A3:A12"/>
    <mergeCell ref="B3:B12"/>
    <mergeCell ref="C3:C12"/>
    <mergeCell ref="A15:A24"/>
    <mergeCell ref="B15:B24"/>
    <mergeCell ref="C15:C24"/>
    <mergeCell ref="A27:A36"/>
    <mergeCell ref="B495:B504"/>
    <mergeCell ref="C495:C504"/>
    <mergeCell ref="A471:A480"/>
    <mergeCell ref="B471:B480"/>
    <mergeCell ref="C471:C480"/>
    <mergeCell ref="A483:A492"/>
    <mergeCell ref="B483:B492"/>
    <mergeCell ref="C483:C492"/>
    <mergeCell ref="A495:A504"/>
    <mergeCell ref="B459:B468"/>
    <mergeCell ref="C459:C468"/>
    <mergeCell ref="A435:A444"/>
    <mergeCell ref="B435:B444"/>
    <mergeCell ref="C435:C444"/>
    <mergeCell ref="A447:A456"/>
    <mergeCell ref="B447:B456"/>
    <mergeCell ref="C447:C456"/>
    <mergeCell ref="A459:A468"/>
    <mergeCell ref="B423:B432"/>
    <mergeCell ref="C423:C432"/>
    <mergeCell ref="A399:A408"/>
    <mergeCell ref="B399:B408"/>
    <mergeCell ref="C399:C408"/>
    <mergeCell ref="A411:A420"/>
    <mergeCell ref="B411:B420"/>
    <mergeCell ref="C411:C420"/>
    <mergeCell ref="A423:A432"/>
    <mergeCell ref="B387:B396"/>
    <mergeCell ref="C387:C396"/>
    <mergeCell ref="A363:A372"/>
    <mergeCell ref="B363:B372"/>
    <mergeCell ref="C363:C372"/>
    <mergeCell ref="A375:A384"/>
    <mergeCell ref="B375:B384"/>
    <mergeCell ref="C375:C384"/>
    <mergeCell ref="A387:A396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AB984"/>
  <sheetViews>
    <sheetView workbookViewId="0"/>
  </sheetViews>
  <sheetFormatPr defaultColWidth="12.5703125" defaultRowHeight="15.75" customHeight="1" x14ac:dyDescent="0.2"/>
  <cols>
    <col min="1" max="1" width="15.85546875" customWidth="1"/>
    <col min="2" max="28" width="18.42578125" customWidth="1"/>
  </cols>
  <sheetData>
    <row r="1" spans="1:28" ht="15.75" customHeight="1" x14ac:dyDescent="0.35">
      <c r="A1" s="22"/>
      <c r="B1" s="23" t="s">
        <v>94</v>
      </c>
      <c r="C1" s="23" t="s">
        <v>1</v>
      </c>
      <c r="D1" s="49" t="s">
        <v>284</v>
      </c>
      <c r="E1" s="49" t="s">
        <v>285</v>
      </c>
      <c r="F1" s="49" t="s">
        <v>286</v>
      </c>
      <c r="G1" s="49" t="s">
        <v>287</v>
      </c>
      <c r="H1" s="49" t="s">
        <v>286</v>
      </c>
      <c r="I1" s="49" t="s">
        <v>287</v>
      </c>
      <c r="J1" s="49" t="s">
        <v>288</v>
      </c>
      <c r="K1" s="49" t="s">
        <v>234</v>
      </c>
      <c r="L1" s="137" t="s">
        <v>302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15.75" customHeight="1" x14ac:dyDescent="0.35">
      <c r="A2" s="148" t="s">
        <v>28</v>
      </c>
      <c r="B2" s="145" t="s">
        <v>29</v>
      </c>
      <c r="C2" s="145" t="s">
        <v>301</v>
      </c>
      <c r="D2" s="57">
        <v>46086</v>
      </c>
      <c r="E2" s="51" t="s">
        <v>291</v>
      </c>
      <c r="F2" s="52">
        <v>0.29166666666666669</v>
      </c>
      <c r="G2" s="52">
        <v>0.54166666666666663</v>
      </c>
      <c r="H2" s="52">
        <v>0.58333333333333337</v>
      </c>
      <c r="I2" s="52">
        <v>0.875</v>
      </c>
      <c r="J2" s="53">
        <f t="shared" ref="J2:J8" si="0">(((I2-H2)+(G2-F2))*24)</f>
        <v>12.999999999999996</v>
      </c>
      <c r="K2" s="53">
        <f t="shared" ref="K2:K4" si="1">J2-8</f>
        <v>4.9999999999999964</v>
      </c>
      <c r="L2" s="138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5.75" customHeight="1" x14ac:dyDescent="0.35">
      <c r="A3" s="149"/>
      <c r="B3" s="146"/>
      <c r="C3" s="146"/>
      <c r="D3" s="57">
        <v>46087</v>
      </c>
      <c r="E3" s="51" t="s">
        <v>292</v>
      </c>
      <c r="F3" s="52">
        <v>0.29166666666666669</v>
      </c>
      <c r="G3" s="52">
        <v>0.54166666666666663</v>
      </c>
      <c r="H3" s="52">
        <v>0.58333333333333337</v>
      </c>
      <c r="I3" s="52">
        <v>0.75</v>
      </c>
      <c r="J3" s="53">
        <f t="shared" si="0"/>
        <v>9.9999999999999982</v>
      </c>
      <c r="K3" s="53">
        <f t="shared" si="1"/>
        <v>1.9999999999999982</v>
      </c>
      <c r="L3" s="138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15.75" customHeight="1" x14ac:dyDescent="0.35">
      <c r="A4" s="149"/>
      <c r="B4" s="146"/>
      <c r="C4" s="146"/>
      <c r="D4" s="57">
        <v>46088</v>
      </c>
      <c r="E4" s="51" t="s">
        <v>293</v>
      </c>
      <c r="F4" s="52">
        <v>0.29166666666666669</v>
      </c>
      <c r="G4" s="52">
        <v>0.54166666666666663</v>
      </c>
      <c r="H4" s="52">
        <v>0.58333333333333337</v>
      </c>
      <c r="I4" s="52">
        <v>0.76041666666666663</v>
      </c>
      <c r="J4" s="53">
        <f t="shared" si="0"/>
        <v>10.249999999999996</v>
      </c>
      <c r="K4" s="53">
        <f t="shared" si="1"/>
        <v>2.2499999999999964</v>
      </c>
      <c r="L4" s="138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5.75" customHeight="1" x14ac:dyDescent="0.35">
      <c r="A5" s="149"/>
      <c r="B5" s="146"/>
      <c r="C5" s="146"/>
      <c r="D5" s="57">
        <v>46089</v>
      </c>
      <c r="E5" s="51" t="s">
        <v>294</v>
      </c>
      <c r="F5" s="52"/>
      <c r="G5" s="52"/>
      <c r="H5" s="52"/>
      <c r="I5" s="52"/>
      <c r="J5" s="53">
        <f t="shared" si="0"/>
        <v>0</v>
      </c>
      <c r="K5" s="51"/>
      <c r="L5" s="138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15.75" customHeight="1" x14ac:dyDescent="0.35">
      <c r="A6" s="149"/>
      <c r="B6" s="146"/>
      <c r="C6" s="146"/>
      <c r="D6" s="57">
        <v>46090</v>
      </c>
      <c r="E6" s="51" t="s">
        <v>295</v>
      </c>
      <c r="F6" s="52">
        <v>0.3125</v>
      </c>
      <c r="G6" s="52">
        <v>0.54166666666666663</v>
      </c>
      <c r="H6" s="52">
        <v>0.58333333333333337</v>
      </c>
      <c r="I6" s="52">
        <v>0.72916666666666663</v>
      </c>
      <c r="J6" s="53">
        <f t="shared" si="0"/>
        <v>8.9999999999999964</v>
      </c>
      <c r="K6" s="53">
        <f t="shared" ref="K6:K8" si="2">J6-8</f>
        <v>0.99999999999999645</v>
      </c>
      <c r="L6" s="138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5.75" customHeight="1" x14ac:dyDescent="0.35">
      <c r="A7" s="149"/>
      <c r="B7" s="146"/>
      <c r="C7" s="146"/>
      <c r="D7" s="57">
        <v>46091</v>
      </c>
      <c r="E7" s="51" t="s">
        <v>296</v>
      </c>
      <c r="F7" s="52">
        <v>0.33333333333333331</v>
      </c>
      <c r="G7" s="52">
        <v>0.54166666666666663</v>
      </c>
      <c r="H7" s="52">
        <v>0.58333333333333337</v>
      </c>
      <c r="I7" s="52">
        <v>0.76041666666666663</v>
      </c>
      <c r="J7" s="53">
        <f t="shared" si="0"/>
        <v>9.2499999999999982</v>
      </c>
      <c r="K7" s="53">
        <f t="shared" si="2"/>
        <v>1.2499999999999982</v>
      </c>
      <c r="L7" s="138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15.75" customHeight="1" x14ac:dyDescent="0.35">
      <c r="A8" s="149"/>
      <c r="B8" s="146"/>
      <c r="C8" s="146"/>
      <c r="D8" s="57">
        <v>46092</v>
      </c>
      <c r="E8" s="51" t="s">
        <v>297</v>
      </c>
      <c r="F8" s="52">
        <v>0.31944444444444442</v>
      </c>
      <c r="G8" s="52">
        <v>0.54166666666666663</v>
      </c>
      <c r="H8" s="52">
        <v>0.58333333333333337</v>
      </c>
      <c r="I8" s="134">
        <v>0.77430555555555558</v>
      </c>
      <c r="J8" s="53">
        <f t="shared" si="0"/>
        <v>9.9166666666666661</v>
      </c>
      <c r="K8" s="55">
        <f t="shared" si="2"/>
        <v>1.9166666666666661</v>
      </c>
      <c r="L8" s="139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15.75" customHeight="1" x14ac:dyDescent="0.35">
      <c r="A9" s="149"/>
      <c r="B9" s="146"/>
      <c r="C9" s="146"/>
      <c r="D9" s="57"/>
      <c r="E9" s="51"/>
      <c r="F9" s="51"/>
      <c r="G9" s="51"/>
      <c r="H9" s="43"/>
      <c r="I9" s="58" t="s">
        <v>298</v>
      </c>
      <c r="J9" s="59">
        <v>880</v>
      </c>
      <c r="K9" s="58"/>
      <c r="L9" s="58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ht="15.75" customHeight="1" x14ac:dyDescent="0.35">
      <c r="A10" s="149"/>
      <c r="B10" s="146"/>
      <c r="C10" s="146"/>
      <c r="D10" s="57"/>
      <c r="E10" s="51"/>
      <c r="F10" s="51"/>
      <c r="G10" s="51"/>
      <c r="H10" s="61"/>
      <c r="I10" s="58" t="s">
        <v>299</v>
      </c>
      <c r="J10" s="59">
        <f>J9*6</f>
        <v>5280</v>
      </c>
      <c r="K10" s="59">
        <f>(J9/8)*(SUM(K2:K8))</f>
        <v>1475.8333333333317</v>
      </c>
      <c r="L10" s="58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ht="15.75" customHeight="1" x14ac:dyDescent="0.35">
      <c r="A11" s="150"/>
      <c r="B11" s="147"/>
      <c r="C11" s="147"/>
      <c r="D11" s="62"/>
      <c r="E11" s="63"/>
      <c r="F11" s="63"/>
      <c r="G11" s="63"/>
      <c r="H11" s="64"/>
      <c r="I11" s="65" t="s">
        <v>300</v>
      </c>
      <c r="J11" s="140">
        <f>SUM(J10:K10)</f>
        <v>6755.8333333333321</v>
      </c>
      <c r="K11" s="58"/>
      <c r="L11" s="58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ht="15.75" customHeight="1" x14ac:dyDescent="0.35">
      <c r="A12" s="26"/>
      <c r="B12" s="43"/>
      <c r="C12" s="43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ht="15.75" customHeight="1" x14ac:dyDescent="0.35">
      <c r="A13" s="79" t="s">
        <v>93</v>
      </c>
      <c r="B13" s="23" t="s">
        <v>94</v>
      </c>
      <c r="C13" s="23" t="s">
        <v>1</v>
      </c>
      <c r="D13" s="24" t="s">
        <v>284</v>
      </c>
      <c r="E13" s="24" t="s">
        <v>285</v>
      </c>
      <c r="F13" s="24" t="s">
        <v>286</v>
      </c>
      <c r="G13" s="24" t="s">
        <v>287</v>
      </c>
      <c r="H13" s="24" t="s">
        <v>286</v>
      </c>
      <c r="I13" s="24" t="s">
        <v>287</v>
      </c>
      <c r="J13" s="24" t="s">
        <v>288</v>
      </c>
      <c r="K13" s="24" t="s">
        <v>234</v>
      </c>
      <c r="L13" s="80" t="s">
        <v>302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15.75" customHeight="1" x14ac:dyDescent="0.35">
      <c r="A14" s="148" t="s">
        <v>61</v>
      </c>
      <c r="B14" s="145" t="s">
        <v>62</v>
      </c>
      <c r="C14" s="145" t="s">
        <v>301</v>
      </c>
      <c r="D14" s="27">
        <v>46086</v>
      </c>
      <c r="E14" s="28" t="s">
        <v>291</v>
      </c>
      <c r="F14" s="29">
        <v>0.29166666666666669</v>
      </c>
      <c r="G14" s="29">
        <v>0.54166666666666663</v>
      </c>
      <c r="H14" s="29">
        <v>0.58333333333333337</v>
      </c>
      <c r="I14" s="29">
        <v>0.83333333333333337</v>
      </c>
      <c r="J14" s="30">
        <f t="shared" ref="J14:J20" si="3">(((I14-H14)+(G14-F14))*24)</f>
        <v>11.999999999999998</v>
      </c>
      <c r="K14" s="30">
        <f t="shared" ref="K14:K16" si="4">J14-8</f>
        <v>3.9999999999999982</v>
      </c>
      <c r="L14" s="81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15.75" customHeight="1" x14ac:dyDescent="0.35">
      <c r="A15" s="149"/>
      <c r="B15" s="146"/>
      <c r="C15" s="146"/>
      <c r="D15" s="27">
        <v>46087</v>
      </c>
      <c r="E15" s="28" t="s">
        <v>292</v>
      </c>
      <c r="F15" s="29">
        <v>0.29166666666666669</v>
      </c>
      <c r="G15" s="29">
        <v>0.54166666666666663</v>
      </c>
      <c r="H15" s="29">
        <v>0.58333333333333337</v>
      </c>
      <c r="I15" s="29">
        <v>0.83333333333333337</v>
      </c>
      <c r="J15" s="30">
        <f t="shared" si="3"/>
        <v>11.999999999999998</v>
      </c>
      <c r="K15" s="30">
        <f t="shared" si="4"/>
        <v>3.9999999999999982</v>
      </c>
      <c r="L15" s="81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15.75" customHeight="1" x14ac:dyDescent="0.35">
      <c r="A16" s="149"/>
      <c r="B16" s="146"/>
      <c r="C16" s="146"/>
      <c r="D16" s="27">
        <v>46088</v>
      </c>
      <c r="E16" s="28" t="s">
        <v>293</v>
      </c>
      <c r="F16" s="29">
        <v>0.29166666666666669</v>
      </c>
      <c r="G16" s="29">
        <v>0.54166666666666663</v>
      </c>
      <c r="H16" s="29">
        <v>0.58333333333333337</v>
      </c>
      <c r="I16" s="29">
        <v>0.83333333333333337</v>
      </c>
      <c r="J16" s="30">
        <f t="shared" si="3"/>
        <v>11.999999999999998</v>
      </c>
      <c r="K16" s="30">
        <f t="shared" si="4"/>
        <v>3.9999999999999982</v>
      </c>
      <c r="L16" s="81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ht="15.75" customHeight="1" x14ac:dyDescent="0.35">
      <c r="A17" s="149"/>
      <c r="B17" s="146"/>
      <c r="C17" s="146"/>
      <c r="D17" s="27">
        <v>46089</v>
      </c>
      <c r="E17" s="28" t="s">
        <v>294</v>
      </c>
      <c r="F17" s="29"/>
      <c r="G17" s="29"/>
      <c r="H17" s="29"/>
      <c r="I17" s="29"/>
      <c r="J17" s="30">
        <f t="shared" si="3"/>
        <v>0</v>
      </c>
      <c r="K17" s="28"/>
      <c r="L17" s="81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15.75" customHeight="1" x14ac:dyDescent="0.35">
      <c r="A18" s="149"/>
      <c r="B18" s="146"/>
      <c r="C18" s="146"/>
      <c r="D18" s="27">
        <v>46090</v>
      </c>
      <c r="E18" s="28" t="s">
        <v>295</v>
      </c>
      <c r="F18" s="29">
        <v>0.3125</v>
      </c>
      <c r="G18" s="29">
        <v>0.54166666666666663</v>
      </c>
      <c r="H18" s="29">
        <v>0.58333333333333337</v>
      </c>
      <c r="I18" s="29">
        <v>0.90625</v>
      </c>
      <c r="J18" s="30">
        <f t="shared" si="3"/>
        <v>13.249999999999998</v>
      </c>
      <c r="K18" s="30">
        <f t="shared" ref="K18:K20" si="5">J18-8</f>
        <v>5.2499999999999982</v>
      </c>
      <c r="L18" s="81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15.75" customHeight="1" x14ac:dyDescent="0.35">
      <c r="A19" s="149"/>
      <c r="B19" s="146"/>
      <c r="C19" s="146"/>
      <c r="D19" s="27">
        <v>46091</v>
      </c>
      <c r="E19" s="28" t="s">
        <v>296</v>
      </c>
      <c r="F19" s="29">
        <v>0.33333333333333331</v>
      </c>
      <c r="G19" s="29">
        <v>0.54166666666666663</v>
      </c>
      <c r="H19" s="29">
        <v>0.58333333333333337</v>
      </c>
      <c r="I19" s="29">
        <v>0.79166666666666663</v>
      </c>
      <c r="J19" s="30">
        <f t="shared" si="3"/>
        <v>9.9999999999999982</v>
      </c>
      <c r="K19" s="30">
        <f t="shared" si="5"/>
        <v>1.9999999999999982</v>
      </c>
      <c r="L19" s="81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15.75" customHeight="1" x14ac:dyDescent="0.35">
      <c r="A20" s="149"/>
      <c r="B20" s="146"/>
      <c r="C20" s="146"/>
      <c r="D20" s="27">
        <v>46092</v>
      </c>
      <c r="E20" s="28" t="s">
        <v>297</v>
      </c>
      <c r="F20" s="29">
        <v>0.31944444444444442</v>
      </c>
      <c r="G20" s="29">
        <v>0.54166666666666663</v>
      </c>
      <c r="H20" s="29">
        <v>0.58333333333333337</v>
      </c>
      <c r="I20" s="29">
        <v>0.79166666666666663</v>
      </c>
      <c r="J20" s="30">
        <f t="shared" si="3"/>
        <v>10.333333333333332</v>
      </c>
      <c r="K20" s="32">
        <f t="shared" si="5"/>
        <v>2.3333333333333321</v>
      </c>
      <c r="L20" s="82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15.75" customHeight="1" x14ac:dyDescent="0.35">
      <c r="A21" s="149"/>
      <c r="B21" s="146"/>
      <c r="C21" s="146"/>
      <c r="D21" s="27"/>
      <c r="E21" s="28"/>
      <c r="F21" s="28"/>
      <c r="G21" s="28"/>
      <c r="H21" s="26"/>
      <c r="I21" s="34" t="s">
        <v>298</v>
      </c>
      <c r="J21" s="35">
        <v>1000</v>
      </c>
      <c r="K21" s="34"/>
      <c r="L21" s="34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15.75" customHeight="1" x14ac:dyDescent="0.35">
      <c r="A22" s="149"/>
      <c r="B22" s="146"/>
      <c r="C22" s="146"/>
      <c r="D22" s="27"/>
      <c r="E22" s="28"/>
      <c r="F22" s="28"/>
      <c r="G22" s="28"/>
      <c r="H22" s="37"/>
      <c r="I22" s="34" t="s">
        <v>299</v>
      </c>
      <c r="J22" s="35">
        <f>J21*6</f>
        <v>6000</v>
      </c>
      <c r="K22" s="35">
        <f>(J21/8)*(SUM(K14:K20))</f>
        <v>2697.9166666666656</v>
      </c>
      <c r="L22" s="34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15.75" customHeight="1" x14ac:dyDescent="0.35">
      <c r="A23" s="150"/>
      <c r="B23" s="147"/>
      <c r="C23" s="147"/>
      <c r="D23" s="38"/>
      <c r="E23" s="39"/>
      <c r="F23" s="39"/>
      <c r="G23" s="39"/>
      <c r="H23" s="40"/>
      <c r="I23" s="41" t="s">
        <v>300</v>
      </c>
      <c r="J23" s="42">
        <f>SUM(J22:K22)</f>
        <v>8697.9166666666661</v>
      </c>
      <c r="K23" s="34"/>
      <c r="L23" s="34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15.75" customHeight="1" x14ac:dyDescent="0.35">
      <c r="A24" s="26"/>
      <c r="B24" s="43"/>
      <c r="C24" s="4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15.75" customHeight="1" x14ac:dyDescent="0.35">
      <c r="A25" s="79" t="s">
        <v>93</v>
      </c>
      <c r="B25" s="23" t="s">
        <v>94</v>
      </c>
      <c r="C25" s="23" t="s">
        <v>1</v>
      </c>
      <c r="D25" s="24" t="s">
        <v>284</v>
      </c>
      <c r="E25" s="24" t="s">
        <v>285</v>
      </c>
      <c r="F25" s="24" t="s">
        <v>286</v>
      </c>
      <c r="G25" s="24" t="s">
        <v>287</v>
      </c>
      <c r="H25" s="24" t="s">
        <v>286</v>
      </c>
      <c r="I25" s="24" t="s">
        <v>287</v>
      </c>
      <c r="J25" s="24" t="s">
        <v>288</v>
      </c>
      <c r="K25" s="24" t="s">
        <v>234</v>
      </c>
      <c r="L25" s="80" t="s">
        <v>302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15.75" customHeight="1" x14ac:dyDescent="0.35">
      <c r="A26" s="148" t="s">
        <v>70</v>
      </c>
      <c r="B26" s="145" t="s">
        <v>71</v>
      </c>
      <c r="C26" s="145" t="s">
        <v>16</v>
      </c>
      <c r="D26" s="27">
        <v>46086</v>
      </c>
      <c r="E26" s="28" t="s">
        <v>291</v>
      </c>
      <c r="F26" s="29">
        <v>0.29166666666666669</v>
      </c>
      <c r="G26" s="29">
        <v>0.54166666666666663</v>
      </c>
      <c r="H26" s="29">
        <v>0.58333333333333337</v>
      </c>
      <c r="I26" s="29">
        <v>0.79166666666666663</v>
      </c>
      <c r="J26" s="30">
        <f t="shared" ref="J26:J32" si="6">(((I26-H26)+(G26-F26))*24)</f>
        <v>10.999999999999996</v>
      </c>
      <c r="K26" s="30">
        <f t="shared" ref="K26:K28" si="7">J26-8</f>
        <v>2.9999999999999964</v>
      </c>
      <c r="L26" s="81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15.75" customHeight="1" x14ac:dyDescent="0.35">
      <c r="A27" s="149"/>
      <c r="B27" s="146"/>
      <c r="C27" s="146"/>
      <c r="D27" s="27">
        <v>46087</v>
      </c>
      <c r="E27" s="28" t="s">
        <v>292</v>
      </c>
      <c r="F27" s="29">
        <v>0.29166666666666669</v>
      </c>
      <c r="G27" s="29">
        <v>0.54166666666666663</v>
      </c>
      <c r="H27" s="29">
        <v>0.58333333333333337</v>
      </c>
      <c r="I27" s="29">
        <v>0.79166666666666663</v>
      </c>
      <c r="J27" s="30">
        <f t="shared" si="6"/>
        <v>10.999999999999996</v>
      </c>
      <c r="K27" s="30">
        <f t="shared" si="7"/>
        <v>2.9999999999999964</v>
      </c>
      <c r="L27" s="81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15.75" customHeight="1" x14ac:dyDescent="0.35">
      <c r="A28" s="149"/>
      <c r="B28" s="146"/>
      <c r="C28" s="146"/>
      <c r="D28" s="27">
        <v>46088</v>
      </c>
      <c r="E28" s="28" t="s">
        <v>293</v>
      </c>
      <c r="F28" s="29">
        <v>0.29166666666666669</v>
      </c>
      <c r="G28" s="29">
        <v>0.54166666666666663</v>
      </c>
      <c r="H28" s="29">
        <v>0.58333333333333337</v>
      </c>
      <c r="I28" s="29">
        <v>0.79166666666666663</v>
      </c>
      <c r="J28" s="30">
        <f t="shared" si="6"/>
        <v>10.999999999999996</v>
      </c>
      <c r="K28" s="30">
        <f t="shared" si="7"/>
        <v>2.9999999999999964</v>
      </c>
      <c r="L28" s="81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15.75" customHeight="1" x14ac:dyDescent="0.35">
      <c r="A29" s="149"/>
      <c r="B29" s="146"/>
      <c r="C29" s="146"/>
      <c r="D29" s="27">
        <v>46089</v>
      </c>
      <c r="E29" s="28" t="s">
        <v>294</v>
      </c>
      <c r="F29" s="29"/>
      <c r="G29" s="29"/>
      <c r="H29" s="29"/>
      <c r="I29" s="29"/>
      <c r="J29" s="30">
        <f t="shared" si="6"/>
        <v>0</v>
      </c>
      <c r="K29" s="28"/>
      <c r="L29" s="81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15.75" customHeight="1" x14ac:dyDescent="0.35">
      <c r="A30" s="149"/>
      <c r="B30" s="146"/>
      <c r="C30" s="146"/>
      <c r="D30" s="27">
        <v>46090</v>
      </c>
      <c r="E30" s="28" t="s">
        <v>295</v>
      </c>
      <c r="F30" s="29">
        <v>0.29166666666666669</v>
      </c>
      <c r="G30" s="29">
        <v>0.54166666666666663</v>
      </c>
      <c r="H30" s="29">
        <v>0.58333333333333337</v>
      </c>
      <c r="I30" s="29">
        <v>0.79166666666666663</v>
      </c>
      <c r="J30" s="30">
        <f t="shared" si="6"/>
        <v>10.999999999999996</v>
      </c>
      <c r="K30" s="30">
        <f t="shared" ref="K30:K32" si="8">J30-8</f>
        <v>2.9999999999999964</v>
      </c>
      <c r="L30" s="81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15.75" customHeight="1" x14ac:dyDescent="0.35">
      <c r="A31" s="149"/>
      <c r="B31" s="146"/>
      <c r="C31" s="146"/>
      <c r="D31" s="27">
        <v>46091</v>
      </c>
      <c r="E31" s="28" t="s">
        <v>296</v>
      </c>
      <c r="F31" s="29">
        <v>0.33333333333333331</v>
      </c>
      <c r="G31" s="29">
        <v>0.54166666666666663</v>
      </c>
      <c r="H31" s="29">
        <v>0.58333333333333337</v>
      </c>
      <c r="I31" s="29">
        <v>0.79166666666666663</v>
      </c>
      <c r="J31" s="30">
        <f t="shared" si="6"/>
        <v>9.9999999999999982</v>
      </c>
      <c r="K31" s="30">
        <f t="shared" si="8"/>
        <v>1.9999999999999982</v>
      </c>
      <c r="L31" s="81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15.75" customHeight="1" x14ac:dyDescent="0.35">
      <c r="A32" s="149"/>
      <c r="B32" s="146"/>
      <c r="C32" s="146"/>
      <c r="D32" s="27">
        <v>46092</v>
      </c>
      <c r="E32" s="28" t="s">
        <v>297</v>
      </c>
      <c r="F32" s="29">
        <v>0.31944444444444442</v>
      </c>
      <c r="G32" s="29">
        <v>0.54166666666666663</v>
      </c>
      <c r="H32" s="29">
        <v>0.58333333333333337</v>
      </c>
      <c r="I32" s="29">
        <v>0.79166666666666663</v>
      </c>
      <c r="J32" s="30">
        <f t="shared" si="6"/>
        <v>10.333333333333332</v>
      </c>
      <c r="K32" s="32">
        <f t="shared" si="8"/>
        <v>2.3333333333333321</v>
      </c>
      <c r="L32" s="82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15.75" customHeight="1" x14ac:dyDescent="0.35">
      <c r="A33" s="149"/>
      <c r="B33" s="146"/>
      <c r="C33" s="146"/>
      <c r="D33" s="27"/>
      <c r="E33" s="28"/>
      <c r="F33" s="28"/>
      <c r="G33" s="28"/>
      <c r="H33" s="26"/>
      <c r="I33" s="34" t="s">
        <v>298</v>
      </c>
      <c r="J33" s="35">
        <v>1000</v>
      </c>
      <c r="K33" s="34"/>
      <c r="L33" s="34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15.75" customHeight="1" x14ac:dyDescent="0.35">
      <c r="A34" s="149"/>
      <c r="B34" s="146"/>
      <c r="C34" s="146"/>
      <c r="D34" s="27"/>
      <c r="E34" s="28"/>
      <c r="F34" s="28"/>
      <c r="G34" s="28"/>
      <c r="H34" s="37"/>
      <c r="I34" s="34" t="s">
        <v>299</v>
      </c>
      <c r="J34" s="35">
        <f>J33*6</f>
        <v>6000</v>
      </c>
      <c r="K34" s="35">
        <f>(J33/8)*(SUM(K26:K32))</f>
        <v>2041.6666666666642</v>
      </c>
      <c r="L34" s="34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15.75" customHeight="1" x14ac:dyDescent="0.35">
      <c r="A35" s="150"/>
      <c r="B35" s="147"/>
      <c r="C35" s="147"/>
      <c r="D35" s="38"/>
      <c r="E35" s="39"/>
      <c r="F35" s="39"/>
      <c r="G35" s="39"/>
      <c r="H35" s="40"/>
      <c r="I35" s="41" t="s">
        <v>300</v>
      </c>
      <c r="J35" s="42">
        <f>SUM(J34:K34)</f>
        <v>8041.6666666666642</v>
      </c>
      <c r="K35" s="34"/>
      <c r="L35" s="34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15.75" customHeight="1" x14ac:dyDescent="0.35">
      <c r="A36" s="26"/>
      <c r="B36" s="43"/>
      <c r="C36" s="43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46.5" x14ac:dyDescent="0.35">
      <c r="A37" s="79" t="s">
        <v>93</v>
      </c>
      <c r="B37" s="23" t="s">
        <v>94</v>
      </c>
      <c r="C37" s="23" t="s">
        <v>1</v>
      </c>
      <c r="D37" s="24" t="s">
        <v>284</v>
      </c>
      <c r="E37" s="24" t="s">
        <v>285</v>
      </c>
      <c r="F37" s="24" t="s">
        <v>286</v>
      </c>
      <c r="G37" s="24" t="s">
        <v>287</v>
      </c>
      <c r="H37" s="24" t="s">
        <v>286</v>
      </c>
      <c r="I37" s="24" t="s">
        <v>287</v>
      </c>
      <c r="J37" s="24" t="s">
        <v>288</v>
      </c>
      <c r="K37" s="24" t="s">
        <v>234</v>
      </c>
      <c r="L37" s="80" t="s">
        <v>302</v>
      </c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3.25" x14ac:dyDescent="0.35">
      <c r="A38" s="148" t="s">
        <v>59</v>
      </c>
      <c r="B38" s="145" t="s">
        <v>60</v>
      </c>
      <c r="C38" s="145" t="s">
        <v>301</v>
      </c>
      <c r="D38" s="27">
        <v>46086</v>
      </c>
      <c r="E38" s="28" t="s">
        <v>291</v>
      </c>
      <c r="F38" s="29">
        <v>0.29166666666666669</v>
      </c>
      <c r="G38" s="29">
        <v>0.54166666666666663</v>
      </c>
      <c r="H38" s="29">
        <v>0.58333333333333337</v>
      </c>
      <c r="I38" s="29">
        <v>0.79166666666666663</v>
      </c>
      <c r="J38" s="30">
        <f t="shared" ref="J38:J44" si="9">(((I38-H38)+(G38-F38))*24)</f>
        <v>10.999999999999996</v>
      </c>
      <c r="K38" s="30">
        <f t="shared" ref="K38:K40" si="10">J38-8</f>
        <v>2.9999999999999964</v>
      </c>
      <c r="L38" s="81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3.25" x14ac:dyDescent="0.35">
      <c r="A39" s="149"/>
      <c r="B39" s="146"/>
      <c r="C39" s="146"/>
      <c r="D39" s="27">
        <v>46087</v>
      </c>
      <c r="E39" s="28" t="s">
        <v>292</v>
      </c>
      <c r="F39" s="29">
        <v>0.29166666666666669</v>
      </c>
      <c r="G39" s="29">
        <v>0.54166666666666663</v>
      </c>
      <c r="H39" s="29">
        <v>0.58333333333333337</v>
      </c>
      <c r="I39" s="29">
        <v>0.79166666666666663</v>
      </c>
      <c r="J39" s="30">
        <f t="shared" si="9"/>
        <v>10.999999999999996</v>
      </c>
      <c r="K39" s="30">
        <f t="shared" si="10"/>
        <v>2.9999999999999964</v>
      </c>
      <c r="L39" s="81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3.25" x14ac:dyDescent="0.35">
      <c r="A40" s="149"/>
      <c r="B40" s="146"/>
      <c r="C40" s="146"/>
      <c r="D40" s="27">
        <v>46088</v>
      </c>
      <c r="E40" s="28" t="s">
        <v>293</v>
      </c>
      <c r="F40" s="29">
        <v>0.29166666666666669</v>
      </c>
      <c r="G40" s="29">
        <v>0.54166666666666663</v>
      </c>
      <c r="H40" s="29">
        <v>0.58333333333333337</v>
      </c>
      <c r="I40" s="29">
        <v>0.79166666666666663</v>
      </c>
      <c r="J40" s="30">
        <f t="shared" si="9"/>
        <v>10.999999999999996</v>
      </c>
      <c r="K40" s="30">
        <f t="shared" si="10"/>
        <v>2.9999999999999964</v>
      </c>
      <c r="L40" s="81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3.25" x14ac:dyDescent="0.35">
      <c r="A41" s="149"/>
      <c r="B41" s="146"/>
      <c r="C41" s="146"/>
      <c r="D41" s="27">
        <v>46089</v>
      </c>
      <c r="E41" s="28" t="s">
        <v>294</v>
      </c>
      <c r="F41" s="29"/>
      <c r="G41" s="29"/>
      <c r="H41" s="29"/>
      <c r="I41" s="29"/>
      <c r="J41" s="30">
        <f t="shared" si="9"/>
        <v>0</v>
      </c>
      <c r="K41" s="28"/>
      <c r="L41" s="81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3.25" x14ac:dyDescent="0.35">
      <c r="A42" s="149"/>
      <c r="B42" s="146"/>
      <c r="C42" s="146"/>
      <c r="D42" s="27">
        <v>46090</v>
      </c>
      <c r="E42" s="28" t="s">
        <v>295</v>
      </c>
      <c r="F42" s="29">
        <v>0.3125</v>
      </c>
      <c r="G42" s="29">
        <v>0.54166666666666663</v>
      </c>
      <c r="H42" s="29">
        <v>0.58333333333333337</v>
      </c>
      <c r="I42" s="29">
        <v>0.86458333333333337</v>
      </c>
      <c r="J42" s="30">
        <f t="shared" si="9"/>
        <v>12.25</v>
      </c>
      <c r="K42" s="30">
        <f t="shared" ref="K42:K44" si="11">J42-8</f>
        <v>4.25</v>
      </c>
      <c r="L42" s="81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3.25" x14ac:dyDescent="0.35">
      <c r="A43" s="149"/>
      <c r="B43" s="146"/>
      <c r="C43" s="146"/>
      <c r="D43" s="27">
        <v>46091</v>
      </c>
      <c r="E43" s="28" t="s">
        <v>296</v>
      </c>
      <c r="F43" s="29">
        <v>0.33333333333333331</v>
      </c>
      <c r="G43" s="29">
        <v>0.54166666666666663</v>
      </c>
      <c r="H43" s="29">
        <v>0.58333333333333337</v>
      </c>
      <c r="I43" s="29">
        <v>0.79166666666666663</v>
      </c>
      <c r="J43" s="30">
        <f t="shared" si="9"/>
        <v>9.9999999999999982</v>
      </c>
      <c r="K43" s="30">
        <f t="shared" si="11"/>
        <v>1.9999999999999982</v>
      </c>
      <c r="L43" s="81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3.25" x14ac:dyDescent="0.35">
      <c r="A44" s="149"/>
      <c r="B44" s="146"/>
      <c r="C44" s="146"/>
      <c r="D44" s="27">
        <v>46092</v>
      </c>
      <c r="E44" s="28" t="s">
        <v>297</v>
      </c>
      <c r="F44" s="29">
        <v>0.31944444444444442</v>
      </c>
      <c r="G44" s="29">
        <v>0.54166666666666663</v>
      </c>
      <c r="H44" s="29">
        <v>0.58333333333333337</v>
      </c>
      <c r="I44" s="29">
        <v>0.79166666666666663</v>
      </c>
      <c r="J44" s="30">
        <f t="shared" si="9"/>
        <v>10.333333333333332</v>
      </c>
      <c r="K44" s="32">
        <f t="shared" si="11"/>
        <v>2.3333333333333321</v>
      </c>
      <c r="L44" s="82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3.25" x14ac:dyDescent="0.35">
      <c r="A45" s="149"/>
      <c r="B45" s="146"/>
      <c r="C45" s="146"/>
      <c r="D45" s="27"/>
      <c r="E45" s="28"/>
      <c r="F45" s="28"/>
      <c r="G45" s="28"/>
      <c r="H45" s="26"/>
      <c r="I45" s="34" t="s">
        <v>298</v>
      </c>
      <c r="J45" s="35">
        <v>1000</v>
      </c>
      <c r="K45" s="34"/>
      <c r="L45" s="35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3.25" x14ac:dyDescent="0.35">
      <c r="A46" s="149"/>
      <c r="B46" s="146"/>
      <c r="C46" s="146"/>
      <c r="D46" s="27"/>
      <c r="E46" s="28"/>
      <c r="F46" s="28"/>
      <c r="G46" s="28"/>
      <c r="H46" s="37"/>
      <c r="I46" s="34" t="s">
        <v>299</v>
      </c>
      <c r="J46" s="35">
        <f>J45*6</f>
        <v>6000</v>
      </c>
      <c r="K46" s="35">
        <f>(J45/8)*(SUM(K38:K44))</f>
        <v>2197.9166666666652</v>
      </c>
      <c r="L46" s="35">
        <v>150</v>
      </c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3.25" x14ac:dyDescent="0.35">
      <c r="A47" s="150"/>
      <c r="B47" s="147"/>
      <c r="C47" s="147"/>
      <c r="D47" s="38"/>
      <c r="E47" s="39"/>
      <c r="F47" s="39"/>
      <c r="G47" s="39"/>
      <c r="H47" s="40"/>
      <c r="I47" s="41" t="s">
        <v>300</v>
      </c>
      <c r="J47" s="42">
        <f>(SUM(J46:K46)-150)</f>
        <v>8047.9166666666642</v>
      </c>
      <c r="K47" s="34"/>
      <c r="L47" s="34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3.25" x14ac:dyDescent="0.35">
      <c r="A48" s="26"/>
      <c r="B48" s="43"/>
      <c r="C48" s="4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46.5" x14ac:dyDescent="0.35">
      <c r="A49" s="79" t="s">
        <v>93</v>
      </c>
      <c r="B49" s="23" t="s">
        <v>94</v>
      </c>
      <c r="C49" s="23" t="s">
        <v>1</v>
      </c>
      <c r="D49" s="24" t="s">
        <v>284</v>
      </c>
      <c r="E49" s="24" t="s">
        <v>285</v>
      </c>
      <c r="F49" s="24" t="s">
        <v>286</v>
      </c>
      <c r="G49" s="24" t="s">
        <v>287</v>
      </c>
      <c r="H49" s="24" t="s">
        <v>286</v>
      </c>
      <c r="I49" s="24" t="s">
        <v>287</v>
      </c>
      <c r="J49" s="24" t="s">
        <v>288</v>
      </c>
      <c r="K49" s="24" t="s">
        <v>234</v>
      </c>
      <c r="L49" s="80" t="s">
        <v>302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23.25" x14ac:dyDescent="0.35">
      <c r="A50" s="148" t="s">
        <v>73</v>
      </c>
      <c r="B50" s="145" t="s">
        <v>74</v>
      </c>
      <c r="C50" s="145" t="s">
        <v>16</v>
      </c>
      <c r="D50" s="27">
        <v>46086</v>
      </c>
      <c r="E50" s="28" t="s">
        <v>291</v>
      </c>
      <c r="F50" s="29">
        <v>0.29166666666666669</v>
      </c>
      <c r="G50" s="29">
        <v>0.54166666666666663</v>
      </c>
      <c r="H50" s="29">
        <v>0.58333333333333337</v>
      </c>
      <c r="I50" s="29">
        <v>0.79166666666666663</v>
      </c>
      <c r="J50" s="30">
        <f t="shared" ref="J50:J56" si="12">(((I50-H50)+(G50-F50))*24)</f>
        <v>10.999999999999996</v>
      </c>
      <c r="K50" s="30">
        <f t="shared" ref="K50:K52" si="13">J50-8</f>
        <v>2.9999999999999964</v>
      </c>
      <c r="L50" s="81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23.25" x14ac:dyDescent="0.35">
      <c r="A51" s="149"/>
      <c r="B51" s="146"/>
      <c r="C51" s="146"/>
      <c r="D51" s="27">
        <v>46087</v>
      </c>
      <c r="E51" s="28" t="s">
        <v>292</v>
      </c>
      <c r="F51" s="29">
        <v>0.29166666666666669</v>
      </c>
      <c r="G51" s="29">
        <v>0.54166666666666663</v>
      </c>
      <c r="H51" s="29">
        <v>0.58333333333333337</v>
      </c>
      <c r="I51" s="29">
        <v>0.79166666666666663</v>
      </c>
      <c r="J51" s="30">
        <f t="shared" si="12"/>
        <v>10.999999999999996</v>
      </c>
      <c r="K51" s="30">
        <f t="shared" si="13"/>
        <v>2.9999999999999964</v>
      </c>
      <c r="L51" s="81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23.25" x14ac:dyDescent="0.35">
      <c r="A52" s="149"/>
      <c r="B52" s="146"/>
      <c r="C52" s="146"/>
      <c r="D52" s="27">
        <v>46088</v>
      </c>
      <c r="E52" s="28" t="s">
        <v>293</v>
      </c>
      <c r="F52" s="29">
        <v>0.29166666666666669</v>
      </c>
      <c r="G52" s="29">
        <v>0.54166666666666663</v>
      </c>
      <c r="H52" s="29">
        <v>0.58333333333333337</v>
      </c>
      <c r="I52" s="29">
        <v>0.77083333333333337</v>
      </c>
      <c r="J52" s="30">
        <f t="shared" si="12"/>
        <v>10.499999999999998</v>
      </c>
      <c r="K52" s="30">
        <f t="shared" si="13"/>
        <v>2.4999999999999982</v>
      </c>
      <c r="L52" s="81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23.25" x14ac:dyDescent="0.35">
      <c r="A53" s="149"/>
      <c r="B53" s="146"/>
      <c r="C53" s="146"/>
      <c r="D53" s="27">
        <v>46089</v>
      </c>
      <c r="E53" s="28" t="s">
        <v>294</v>
      </c>
      <c r="F53" s="29"/>
      <c r="G53" s="29"/>
      <c r="H53" s="29"/>
      <c r="I53" s="29"/>
      <c r="J53" s="30">
        <f t="shared" si="12"/>
        <v>0</v>
      </c>
      <c r="K53" s="28"/>
      <c r="L53" s="81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23.25" x14ac:dyDescent="0.35">
      <c r="A54" s="149"/>
      <c r="B54" s="146"/>
      <c r="C54" s="146"/>
      <c r="D54" s="27">
        <v>46090</v>
      </c>
      <c r="E54" s="28" t="s">
        <v>295</v>
      </c>
      <c r="F54" s="29">
        <v>0.3125</v>
      </c>
      <c r="G54" s="29">
        <v>0.54166666666666663</v>
      </c>
      <c r="H54" s="29">
        <v>0.58333333333333337</v>
      </c>
      <c r="I54" s="29">
        <v>0.79166666666666663</v>
      </c>
      <c r="J54" s="30">
        <f t="shared" si="12"/>
        <v>10.499999999999996</v>
      </c>
      <c r="K54" s="30">
        <f t="shared" ref="K54:K56" si="14">J54-8</f>
        <v>2.4999999999999964</v>
      </c>
      <c r="L54" s="81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23.25" x14ac:dyDescent="0.35">
      <c r="A55" s="149"/>
      <c r="B55" s="146"/>
      <c r="C55" s="146"/>
      <c r="D55" s="27">
        <v>46091</v>
      </c>
      <c r="E55" s="28" t="s">
        <v>296</v>
      </c>
      <c r="F55" s="29">
        <v>0.33333333333333331</v>
      </c>
      <c r="G55" s="29">
        <v>0.54166666666666663</v>
      </c>
      <c r="H55" s="29">
        <v>0.58333333333333337</v>
      </c>
      <c r="I55" s="29">
        <v>0.79166666666666663</v>
      </c>
      <c r="J55" s="30">
        <f t="shared" si="12"/>
        <v>9.9999999999999982</v>
      </c>
      <c r="K55" s="30">
        <f t="shared" si="14"/>
        <v>1.9999999999999982</v>
      </c>
      <c r="L55" s="81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23.25" x14ac:dyDescent="0.35">
      <c r="A56" s="149"/>
      <c r="B56" s="146"/>
      <c r="C56" s="146"/>
      <c r="D56" s="27">
        <v>46092</v>
      </c>
      <c r="E56" s="28" t="s">
        <v>297</v>
      </c>
      <c r="F56" s="29">
        <v>0.31944444444444442</v>
      </c>
      <c r="G56" s="29">
        <v>0.54166666666666663</v>
      </c>
      <c r="H56" s="29">
        <v>0.58333333333333337</v>
      </c>
      <c r="I56" s="29">
        <v>0.79166666666666663</v>
      </c>
      <c r="J56" s="30">
        <f t="shared" si="12"/>
        <v>10.333333333333332</v>
      </c>
      <c r="K56" s="32">
        <f t="shared" si="14"/>
        <v>2.3333333333333321</v>
      </c>
      <c r="L56" s="82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23.25" x14ac:dyDescent="0.35">
      <c r="A57" s="149"/>
      <c r="B57" s="146"/>
      <c r="C57" s="146"/>
      <c r="D57" s="27"/>
      <c r="E57" s="28"/>
      <c r="F57" s="28"/>
      <c r="G57" s="28"/>
      <c r="H57" s="26"/>
      <c r="I57" s="34" t="s">
        <v>298</v>
      </c>
      <c r="J57" s="35">
        <v>1000</v>
      </c>
      <c r="K57" s="34"/>
      <c r="L57" s="34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23.25" x14ac:dyDescent="0.35">
      <c r="A58" s="149"/>
      <c r="B58" s="146"/>
      <c r="C58" s="146"/>
      <c r="D58" s="27"/>
      <c r="E58" s="28"/>
      <c r="F58" s="28"/>
      <c r="G58" s="28"/>
      <c r="H58" s="37"/>
      <c r="I58" s="34" t="s">
        <v>299</v>
      </c>
      <c r="J58" s="35">
        <f>J57*6</f>
        <v>6000</v>
      </c>
      <c r="K58" s="35">
        <f>(J57/8)*(SUM(K50:K56))</f>
        <v>1916.6666666666647</v>
      </c>
      <c r="L58" s="34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23.25" x14ac:dyDescent="0.35">
      <c r="A59" s="150"/>
      <c r="B59" s="147"/>
      <c r="C59" s="147"/>
      <c r="D59" s="38"/>
      <c r="E59" s="39"/>
      <c r="F59" s="39"/>
      <c r="G59" s="39"/>
      <c r="H59" s="40"/>
      <c r="I59" s="41" t="s">
        <v>300</v>
      </c>
      <c r="J59" s="42">
        <f>SUM(J58:K58)</f>
        <v>7916.6666666666642</v>
      </c>
      <c r="K59" s="34"/>
      <c r="L59" s="34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23.25" x14ac:dyDescent="0.35">
      <c r="A60" s="26"/>
      <c r="B60" s="43"/>
      <c r="C60" s="43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46.5" x14ac:dyDescent="0.35">
      <c r="A61" s="79" t="s">
        <v>93</v>
      </c>
      <c r="B61" s="23" t="s">
        <v>94</v>
      </c>
      <c r="C61" s="23" t="s">
        <v>1</v>
      </c>
      <c r="D61" s="24" t="s">
        <v>284</v>
      </c>
      <c r="E61" s="24" t="s">
        <v>285</v>
      </c>
      <c r="F61" s="24" t="s">
        <v>286</v>
      </c>
      <c r="G61" s="24" t="s">
        <v>287</v>
      </c>
      <c r="H61" s="24" t="s">
        <v>286</v>
      </c>
      <c r="I61" s="24" t="s">
        <v>287</v>
      </c>
      <c r="J61" s="24" t="s">
        <v>288</v>
      </c>
      <c r="K61" s="24" t="s">
        <v>234</v>
      </c>
      <c r="L61" s="80" t="s">
        <v>302</v>
      </c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23.25" x14ac:dyDescent="0.35">
      <c r="A62" s="153" t="s">
        <v>80</v>
      </c>
      <c r="B62" s="154" t="s">
        <v>81</v>
      </c>
      <c r="C62" s="154" t="s">
        <v>16</v>
      </c>
      <c r="D62" s="27">
        <v>46086</v>
      </c>
      <c r="E62" s="28" t="s">
        <v>291</v>
      </c>
      <c r="F62" s="29">
        <v>0.29166666666666669</v>
      </c>
      <c r="G62" s="29">
        <v>0.54166666666666663</v>
      </c>
      <c r="H62" s="29">
        <v>0.58333333333333337</v>
      </c>
      <c r="I62" s="29">
        <v>0.79166666666666663</v>
      </c>
      <c r="J62" s="30">
        <f t="shared" ref="J62:J68" si="15">(((I62-H62)+(G62-F62))*24)</f>
        <v>10.999999999999996</v>
      </c>
      <c r="K62" s="30">
        <f t="shared" ref="K62:K64" si="16">J62-8</f>
        <v>2.9999999999999964</v>
      </c>
      <c r="L62" s="81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23.25" x14ac:dyDescent="0.35">
      <c r="A63" s="149"/>
      <c r="B63" s="146"/>
      <c r="C63" s="146"/>
      <c r="D63" s="27">
        <v>46087</v>
      </c>
      <c r="E63" s="28" t="s">
        <v>292</v>
      </c>
      <c r="F63" s="29">
        <v>0.29166666666666669</v>
      </c>
      <c r="G63" s="29">
        <v>0.54166666666666663</v>
      </c>
      <c r="H63" s="29">
        <v>0.58333333333333337</v>
      </c>
      <c r="I63" s="29">
        <v>0.79166666666666663</v>
      </c>
      <c r="J63" s="30">
        <f t="shared" si="15"/>
        <v>10.999999999999996</v>
      </c>
      <c r="K63" s="30">
        <f t="shared" si="16"/>
        <v>2.9999999999999964</v>
      </c>
      <c r="L63" s="81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23.25" x14ac:dyDescent="0.35">
      <c r="A64" s="149"/>
      <c r="B64" s="146"/>
      <c r="C64" s="146"/>
      <c r="D64" s="27">
        <v>46088</v>
      </c>
      <c r="E64" s="28" t="s">
        <v>293</v>
      </c>
      <c r="F64" s="29">
        <v>0.29166666666666669</v>
      </c>
      <c r="G64" s="29">
        <v>0.54166666666666663</v>
      </c>
      <c r="H64" s="29">
        <v>0.58333333333333337</v>
      </c>
      <c r="I64" s="29">
        <v>0.79166666666666663</v>
      </c>
      <c r="J64" s="30">
        <f t="shared" si="15"/>
        <v>10.999999999999996</v>
      </c>
      <c r="K64" s="30">
        <f t="shared" si="16"/>
        <v>2.9999999999999964</v>
      </c>
      <c r="L64" s="81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23.25" x14ac:dyDescent="0.35">
      <c r="A65" s="149"/>
      <c r="B65" s="146"/>
      <c r="C65" s="146"/>
      <c r="D65" s="27">
        <v>46089</v>
      </c>
      <c r="E65" s="28" t="s">
        <v>294</v>
      </c>
      <c r="F65" s="29"/>
      <c r="G65" s="29"/>
      <c r="H65" s="29"/>
      <c r="I65" s="29"/>
      <c r="J65" s="30">
        <f t="shared" si="15"/>
        <v>0</v>
      </c>
      <c r="K65" s="28"/>
      <c r="L65" s="81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23.25" x14ac:dyDescent="0.35">
      <c r="A66" s="149"/>
      <c r="B66" s="146"/>
      <c r="C66" s="146"/>
      <c r="D66" s="27">
        <v>46090</v>
      </c>
      <c r="E66" s="28" t="s">
        <v>295</v>
      </c>
      <c r="F66" s="29"/>
      <c r="G66" s="29"/>
      <c r="H66" s="29"/>
      <c r="I66" s="29"/>
      <c r="J66" s="30">
        <f t="shared" si="15"/>
        <v>0</v>
      </c>
      <c r="K66" s="28"/>
      <c r="L66" s="81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23.25" x14ac:dyDescent="0.35">
      <c r="A67" s="149"/>
      <c r="B67" s="146"/>
      <c r="C67" s="146"/>
      <c r="D67" s="27">
        <v>46091</v>
      </c>
      <c r="E67" s="28" t="s">
        <v>296</v>
      </c>
      <c r="F67" s="29">
        <v>0.33333333333333331</v>
      </c>
      <c r="G67" s="29">
        <v>0.54166666666666663</v>
      </c>
      <c r="H67" s="29">
        <v>0.58333333333333337</v>
      </c>
      <c r="I67" s="29">
        <v>0.79166666666666663</v>
      </c>
      <c r="J67" s="30">
        <f t="shared" si="15"/>
        <v>9.9999999999999982</v>
      </c>
      <c r="K67" s="30">
        <f t="shared" ref="K67:K68" si="17">J67-8</f>
        <v>1.9999999999999982</v>
      </c>
      <c r="L67" s="81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23.25" x14ac:dyDescent="0.35">
      <c r="A68" s="149"/>
      <c r="B68" s="146"/>
      <c r="C68" s="146"/>
      <c r="D68" s="27">
        <v>46092</v>
      </c>
      <c r="E68" s="28" t="s">
        <v>297</v>
      </c>
      <c r="F68" s="29">
        <v>0.31944444444444442</v>
      </c>
      <c r="G68" s="29">
        <v>0.54166666666666663</v>
      </c>
      <c r="H68" s="29">
        <v>0.58333333333333337</v>
      </c>
      <c r="I68" s="29">
        <v>0.79166666666666663</v>
      </c>
      <c r="J68" s="30">
        <f t="shared" si="15"/>
        <v>10.333333333333332</v>
      </c>
      <c r="K68" s="32">
        <f t="shared" si="17"/>
        <v>2.3333333333333321</v>
      </c>
      <c r="L68" s="82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23.25" x14ac:dyDescent="0.35">
      <c r="A69" s="149"/>
      <c r="B69" s="146"/>
      <c r="C69" s="146"/>
      <c r="D69" s="27"/>
      <c r="E69" s="28"/>
      <c r="F69" s="28"/>
      <c r="G69" s="28"/>
      <c r="H69" s="26"/>
      <c r="I69" s="34" t="s">
        <v>298</v>
      </c>
      <c r="J69" s="35">
        <v>1000</v>
      </c>
      <c r="K69" s="34"/>
      <c r="L69" s="34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23.25" x14ac:dyDescent="0.35">
      <c r="A70" s="149"/>
      <c r="B70" s="146"/>
      <c r="C70" s="146"/>
      <c r="D70" s="27"/>
      <c r="E70" s="28"/>
      <c r="F70" s="28"/>
      <c r="G70" s="28"/>
      <c r="H70" s="37"/>
      <c r="I70" s="34" t="s">
        <v>299</v>
      </c>
      <c r="J70" s="35">
        <f>J69*(COUNTIF(J62:J68, "&gt;0.00"))</f>
        <v>5000</v>
      </c>
      <c r="K70" s="35">
        <f>(J69/8)*(SUM(K62:K68))</f>
        <v>1666.6666666666649</v>
      </c>
      <c r="L70" s="34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23.25" x14ac:dyDescent="0.35">
      <c r="A71" s="150"/>
      <c r="B71" s="147"/>
      <c r="C71" s="147"/>
      <c r="D71" s="38"/>
      <c r="E71" s="39"/>
      <c r="F71" s="39"/>
      <c r="G71" s="39"/>
      <c r="H71" s="40"/>
      <c r="I71" s="41" t="s">
        <v>300</v>
      </c>
      <c r="J71" s="42">
        <f>SUM(J70:K70)</f>
        <v>6666.6666666666652</v>
      </c>
      <c r="K71" s="34"/>
      <c r="L71" s="34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23.25" x14ac:dyDescent="0.35">
      <c r="A72" s="26"/>
      <c r="B72" s="43"/>
      <c r="C72" s="43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46.5" x14ac:dyDescent="0.35">
      <c r="A73" s="79" t="s">
        <v>93</v>
      </c>
      <c r="B73" s="23" t="s">
        <v>94</v>
      </c>
      <c r="C73" s="23" t="s">
        <v>1</v>
      </c>
      <c r="D73" s="24" t="s">
        <v>284</v>
      </c>
      <c r="E73" s="24" t="s">
        <v>285</v>
      </c>
      <c r="F73" s="24" t="s">
        <v>286</v>
      </c>
      <c r="G73" s="24" t="s">
        <v>287</v>
      </c>
      <c r="H73" s="24" t="s">
        <v>286</v>
      </c>
      <c r="I73" s="24" t="s">
        <v>287</v>
      </c>
      <c r="J73" s="24" t="s">
        <v>288</v>
      </c>
      <c r="K73" s="24" t="s">
        <v>234</v>
      </c>
      <c r="L73" s="80" t="s">
        <v>302</v>
      </c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23.25" x14ac:dyDescent="0.35">
      <c r="A74" s="153" t="s">
        <v>64</v>
      </c>
      <c r="B74" s="154" t="s">
        <v>65</v>
      </c>
      <c r="C74" s="154" t="s">
        <v>301</v>
      </c>
      <c r="D74" s="27">
        <v>46086</v>
      </c>
      <c r="E74" s="28" t="s">
        <v>291</v>
      </c>
      <c r="F74" s="29">
        <v>0.29166666666666669</v>
      </c>
      <c r="G74" s="29">
        <v>0.54166666666666663</v>
      </c>
      <c r="H74" s="29">
        <v>0.58333333333333337</v>
      </c>
      <c r="I74" s="29">
        <v>0.79166666666666663</v>
      </c>
      <c r="J74" s="30">
        <f t="shared" ref="J74:J80" si="18">(((I74-H74)+(G74-F74))*24)</f>
        <v>10.999999999999996</v>
      </c>
      <c r="K74" s="30">
        <f t="shared" ref="K74:K76" si="19">J74-8</f>
        <v>2.9999999999999964</v>
      </c>
      <c r="L74" s="81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23.25" x14ac:dyDescent="0.35">
      <c r="A75" s="149"/>
      <c r="B75" s="146"/>
      <c r="C75" s="146"/>
      <c r="D75" s="27">
        <v>46087</v>
      </c>
      <c r="E75" s="28" t="s">
        <v>292</v>
      </c>
      <c r="F75" s="29">
        <v>0.29166666666666669</v>
      </c>
      <c r="G75" s="29">
        <v>0.54166666666666663</v>
      </c>
      <c r="H75" s="29">
        <v>0.58333333333333337</v>
      </c>
      <c r="I75" s="29">
        <v>0.79166666666666663</v>
      </c>
      <c r="J75" s="30">
        <f t="shared" si="18"/>
        <v>10.999999999999996</v>
      </c>
      <c r="K75" s="30">
        <f t="shared" si="19"/>
        <v>2.9999999999999964</v>
      </c>
      <c r="L75" s="81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23.25" x14ac:dyDescent="0.35">
      <c r="A76" s="149"/>
      <c r="B76" s="146"/>
      <c r="C76" s="146"/>
      <c r="D76" s="27">
        <v>46088</v>
      </c>
      <c r="E76" s="28" t="s">
        <v>293</v>
      </c>
      <c r="F76" s="29">
        <v>0.29166666666666669</v>
      </c>
      <c r="G76" s="29">
        <v>0.54166666666666663</v>
      </c>
      <c r="H76" s="29">
        <v>0.58333333333333337</v>
      </c>
      <c r="I76" s="29">
        <v>0.79166666666666663</v>
      </c>
      <c r="J76" s="30">
        <f t="shared" si="18"/>
        <v>10.999999999999996</v>
      </c>
      <c r="K76" s="30">
        <f t="shared" si="19"/>
        <v>2.9999999999999964</v>
      </c>
      <c r="L76" s="81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3.25" x14ac:dyDescent="0.35">
      <c r="A77" s="149"/>
      <c r="B77" s="146"/>
      <c r="C77" s="146"/>
      <c r="D77" s="27">
        <v>46089</v>
      </c>
      <c r="E77" s="28" t="s">
        <v>294</v>
      </c>
      <c r="F77" s="29"/>
      <c r="G77" s="29"/>
      <c r="H77" s="29"/>
      <c r="I77" s="29"/>
      <c r="J77" s="30">
        <f t="shared" si="18"/>
        <v>0</v>
      </c>
      <c r="K77" s="28"/>
      <c r="L77" s="81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3.25" x14ac:dyDescent="0.35">
      <c r="A78" s="149"/>
      <c r="B78" s="146"/>
      <c r="C78" s="146"/>
      <c r="D78" s="27">
        <v>46090</v>
      </c>
      <c r="E78" s="28" t="s">
        <v>295</v>
      </c>
      <c r="F78" s="29"/>
      <c r="G78" s="29"/>
      <c r="H78" s="29"/>
      <c r="I78" s="29"/>
      <c r="J78" s="30">
        <f t="shared" si="18"/>
        <v>0</v>
      </c>
      <c r="K78" s="28"/>
      <c r="L78" s="81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3.25" x14ac:dyDescent="0.35">
      <c r="A79" s="149"/>
      <c r="B79" s="146"/>
      <c r="C79" s="146"/>
      <c r="D79" s="27">
        <v>46091</v>
      </c>
      <c r="E79" s="28" t="s">
        <v>296</v>
      </c>
      <c r="F79" s="29">
        <v>0.33333333333333331</v>
      </c>
      <c r="G79" s="29">
        <v>0.54166666666666663</v>
      </c>
      <c r="H79" s="29">
        <v>0.58333333333333337</v>
      </c>
      <c r="I79" s="29">
        <v>0.79166666666666663</v>
      </c>
      <c r="J79" s="30">
        <f t="shared" si="18"/>
        <v>9.9999999999999982</v>
      </c>
      <c r="K79" s="30">
        <f t="shared" ref="K79:K80" si="20">J79-8</f>
        <v>1.9999999999999982</v>
      </c>
      <c r="L79" s="81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23.25" x14ac:dyDescent="0.35">
      <c r="A80" s="149"/>
      <c r="B80" s="146"/>
      <c r="C80" s="146"/>
      <c r="D80" s="27">
        <v>46092</v>
      </c>
      <c r="E80" s="28" t="s">
        <v>297</v>
      </c>
      <c r="F80" s="29">
        <v>0.31944444444444442</v>
      </c>
      <c r="G80" s="29">
        <v>0.54166666666666663</v>
      </c>
      <c r="H80" s="29">
        <v>0.58333333333333337</v>
      </c>
      <c r="I80" s="29">
        <v>0.79166666666666663</v>
      </c>
      <c r="J80" s="30">
        <f t="shared" si="18"/>
        <v>10.333333333333332</v>
      </c>
      <c r="K80" s="32">
        <f t="shared" si="20"/>
        <v>2.3333333333333321</v>
      </c>
      <c r="L80" s="82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23.25" x14ac:dyDescent="0.35">
      <c r="A81" s="149"/>
      <c r="B81" s="146"/>
      <c r="C81" s="146"/>
      <c r="D81" s="27"/>
      <c r="E81" s="28"/>
      <c r="F81" s="28"/>
      <c r="G81" s="28"/>
      <c r="H81" s="26"/>
      <c r="I81" s="34" t="s">
        <v>298</v>
      </c>
      <c r="J81" s="35">
        <v>800</v>
      </c>
      <c r="K81" s="34"/>
      <c r="L81" s="34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23.25" x14ac:dyDescent="0.35">
      <c r="A82" s="149"/>
      <c r="B82" s="146"/>
      <c r="C82" s="146"/>
      <c r="D82" s="27"/>
      <c r="E82" s="28"/>
      <c r="F82" s="28"/>
      <c r="G82" s="28"/>
      <c r="H82" s="37"/>
      <c r="I82" s="34" t="s">
        <v>299</v>
      </c>
      <c r="J82" s="35">
        <f>J81*(COUNTIF(J74:J80, "&gt;0.00"))</f>
        <v>4000</v>
      </c>
      <c r="K82" s="35">
        <f>(J81/8)*(SUM(K74:K80))</f>
        <v>1333.3333333333319</v>
      </c>
      <c r="L82" s="35">
        <v>150</v>
      </c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23.25" x14ac:dyDescent="0.35">
      <c r="A83" s="150"/>
      <c r="B83" s="147"/>
      <c r="C83" s="147"/>
      <c r="D83" s="38"/>
      <c r="E83" s="39"/>
      <c r="F83" s="39"/>
      <c r="G83" s="39"/>
      <c r="H83" s="40"/>
      <c r="I83" s="41" t="s">
        <v>300</v>
      </c>
      <c r="J83" s="42">
        <f>(SUM(J82:K82)-150)</f>
        <v>5183.3333333333321</v>
      </c>
      <c r="K83" s="34"/>
      <c r="L83" s="34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23.25" x14ac:dyDescent="0.35">
      <c r="A84" s="26"/>
      <c r="B84" s="43"/>
      <c r="C84" s="43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46.5" x14ac:dyDescent="0.35">
      <c r="A85" s="79" t="s">
        <v>93</v>
      </c>
      <c r="B85" s="23" t="s">
        <v>94</v>
      </c>
      <c r="C85" s="23" t="s">
        <v>1</v>
      </c>
      <c r="D85" s="24" t="s">
        <v>284</v>
      </c>
      <c r="E85" s="24" t="s">
        <v>285</v>
      </c>
      <c r="F85" s="24" t="s">
        <v>286</v>
      </c>
      <c r="G85" s="24" t="s">
        <v>287</v>
      </c>
      <c r="H85" s="24" t="s">
        <v>286</v>
      </c>
      <c r="I85" s="24" t="s">
        <v>287</v>
      </c>
      <c r="J85" s="24" t="s">
        <v>288</v>
      </c>
      <c r="K85" s="24" t="s">
        <v>234</v>
      </c>
      <c r="L85" s="80" t="s">
        <v>302</v>
      </c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23.25" x14ac:dyDescent="0.35">
      <c r="A86" s="148" t="s">
        <v>360</v>
      </c>
      <c r="B86" s="145" t="s">
        <v>86</v>
      </c>
      <c r="C86" s="145" t="s">
        <v>16</v>
      </c>
      <c r="D86" s="27">
        <v>46086</v>
      </c>
      <c r="E86" s="28" t="s">
        <v>291</v>
      </c>
      <c r="F86" s="29">
        <v>0.29166666666666669</v>
      </c>
      <c r="G86" s="29">
        <v>0.54166666666666663</v>
      </c>
      <c r="H86" s="29">
        <v>0.58333333333333337</v>
      </c>
      <c r="I86" s="29">
        <v>0.79166666666666663</v>
      </c>
      <c r="J86" s="30">
        <f t="shared" ref="J86:J92" si="21">(((I86-H86)+(G86-F86))*24)</f>
        <v>10.999999999999996</v>
      </c>
      <c r="K86" s="30">
        <f t="shared" ref="K86:K88" si="22">J86-8</f>
        <v>2.9999999999999964</v>
      </c>
      <c r="L86" s="81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ht="23.25" x14ac:dyDescent="0.35">
      <c r="A87" s="149"/>
      <c r="B87" s="146"/>
      <c r="C87" s="146"/>
      <c r="D87" s="27">
        <v>46087</v>
      </c>
      <c r="E87" s="28" t="s">
        <v>292</v>
      </c>
      <c r="F87" s="29">
        <v>0.29166666666666669</v>
      </c>
      <c r="G87" s="29">
        <v>0.54166666666666663</v>
      </c>
      <c r="H87" s="29">
        <v>0.58333333333333337</v>
      </c>
      <c r="I87" s="29">
        <v>0.79166666666666663</v>
      </c>
      <c r="J87" s="30">
        <f t="shared" si="21"/>
        <v>10.999999999999996</v>
      </c>
      <c r="K87" s="30">
        <f t="shared" si="22"/>
        <v>2.9999999999999964</v>
      </c>
      <c r="L87" s="81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23.25" x14ac:dyDescent="0.35">
      <c r="A88" s="149"/>
      <c r="B88" s="146"/>
      <c r="C88" s="146"/>
      <c r="D88" s="27">
        <v>46088</v>
      </c>
      <c r="E88" s="28" t="s">
        <v>293</v>
      </c>
      <c r="F88" s="29">
        <v>0.29166666666666669</v>
      </c>
      <c r="G88" s="29">
        <v>0.54166666666666663</v>
      </c>
      <c r="H88" s="29">
        <v>0.58333333333333337</v>
      </c>
      <c r="I88" s="29">
        <v>0.79166666666666663</v>
      </c>
      <c r="J88" s="30">
        <f t="shared" si="21"/>
        <v>10.999999999999996</v>
      </c>
      <c r="K88" s="30">
        <f t="shared" si="22"/>
        <v>2.9999999999999964</v>
      </c>
      <c r="L88" s="81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ht="23.25" x14ac:dyDescent="0.35">
      <c r="A89" s="149"/>
      <c r="B89" s="146"/>
      <c r="C89" s="146"/>
      <c r="D89" s="27">
        <v>46089</v>
      </c>
      <c r="E89" s="28" t="s">
        <v>294</v>
      </c>
      <c r="F89" s="29"/>
      <c r="G89" s="29"/>
      <c r="H89" s="29"/>
      <c r="I89" s="29"/>
      <c r="J89" s="30">
        <f t="shared" si="21"/>
        <v>0</v>
      </c>
      <c r="K89" s="28"/>
      <c r="L89" s="81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23.25" x14ac:dyDescent="0.35">
      <c r="A90" s="149"/>
      <c r="B90" s="146"/>
      <c r="C90" s="146"/>
      <c r="D90" s="27">
        <v>46090</v>
      </c>
      <c r="E90" s="28" t="s">
        <v>295</v>
      </c>
      <c r="F90" s="29">
        <v>0.29166666666666669</v>
      </c>
      <c r="G90" s="29">
        <v>0.54166666666666663</v>
      </c>
      <c r="H90" s="29">
        <v>0.58333333333333337</v>
      </c>
      <c r="I90" s="29">
        <v>0.79166666666666663</v>
      </c>
      <c r="J90" s="30">
        <f t="shared" si="21"/>
        <v>10.999999999999996</v>
      </c>
      <c r="K90" s="30">
        <f t="shared" ref="K90:K92" si="23">J90-8</f>
        <v>2.9999999999999964</v>
      </c>
      <c r="L90" s="81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23.25" x14ac:dyDescent="0.35">
      <c r="A91" s="149"/>
      <c r="B91" s="146"/>
      <c r="C91" s="146"/>
      <c r="D91" s="27">
        <v>46091</v>
      </c>
      <c r="E91" s="28" t="s">
        <v>296</v>
      </c>
      <c r="F91" s="29">
        <v>0.33333333333333331</v>
      </c>
      <c r="G91" s="29">
        <v>0.54166666666666663</v>
      </c>
      <c r="H91" s="29">
        <v>0.58333333333333337</v>
      </c>
      <c r="I91" s="29">
        <v>0.79166666666666663</v>
      </c>
      <c r="J91" s="30">
        <f t="shared" si="21"/>
        <v>9.9999999999999982</v>
      </c>
      <c r="K91" s="30">
        <f t="shared" si="23"/>
        <v>1.9999999999999982</v>
      </c>
      <c r="L91" s="81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23.25" x14ac:dyDescent="0.35">
      <c r="A92" s="149"/>
      <c r="B92" s="146"/>
      <c r="C92" s="146"/>
      <c r="D92" s="27">
        <v>46092</v>
      </c>
      <c r="E92" s="28" t="s">
        <v>297</v>
      </c>
      <c r="F92" s="29">
        <v>0.31944444444444442</v>
      </c>
      <c r="G92" s="29">
        <v>0.54166666666666663</v>
      </c>
      <c r="H92" s="29">
        <v>0.58333333333333337</v>
      </c>
      <c r="I92" s="29">
        <v>0.79166666666666663</v>
      </c>
      <c r="J92" s="30">
        <f t="shared" si="21"/>
        <v>10.333333333333332</v>
      </c>
      <c r="K92" s="32">
        <f t="shared" si="23"/>
        <v>2.3333333333333321</v>
      </c>
      <c r="L92" s="82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23.25" x14ac:dyDescent="0.35">
      <c r="A93" s="149"/>
      <c r="B93" s="146"/>
      <c r="C93" s="146"/>
      <c r="D93" s="27"/>
      <c r="E93" s="28"/>
      <c r="F93" s="28"/>
      <c r="G93" s="28"/>
      <c r="H93" s="26"/>
      <c r="I93" s="34" t="s">
        <v>298</v>
      </c>
      <c r="J93" s="35">
        <v>1000</v>
      </c>
      <c r="K93" s="34"/>
      <c r="L93" s="34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ht="23.25" x14ac:dyDescent="0.35">
      <c r="A94" s="149"/>
      <c r="B94" s="146"/>
      <c r="C94" s="146"/>
      <c r="D94" s="27"/>
      <c r="E94" s="28"/>
      <c r="F94" s="28"/>
      <c r="G94" s="28"/>
      <c r="H94" s="37"/>
      <c r="I94" s="34" t="s">
        <v>299</v>
      </c>
      <c r="J94" s="35">
        <f>J93*6</f>
        <v>6000</v>
      </c>
      <c r="K94" s="35">
        <f>(J93/8)*(SUM(K86:K92))</f>
        <v>2041.6666666666642</v>
      </c>
      <c r="L94" s="34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23.25" x14ac:dyDescent="0.35">
      <c r="A95" s="150"/>
      <c r="B95" s="147"/>
      <c r="C95" s="147"/>
      <c r="D95" s="38"/>
      <c r="E95" s="39"/>
      <c r="F95" s="39"/>
      <c r="G95" s="39"/>
      <c r="H95" s="40"/>
      <c r="I95" s="41" t="s">
        <v>300</v>
      </c>
      <c r="J95" s="42">
        <f>SUM(J94:K94)</f>
        <v>8041.6666666666642</v>
      </c>
      <c r="K95" s="34"/>
      <c r="L95" s="34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23.25" x14ac:dyDescent="0.35">
      <c r="A96" s="26"/>
      <c r="B96" s="43"/>
      <c r="C96" s="43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46.5" x14ac:dyDescent="0.35">
      <c r="A97" s="79" t="s">
        <v>93</v>
      </c>
      <c r="B97" s="23" t="s">
        <v>94</v>
      </c>
      <c r="C97" s="23" t="s">
        <v>1</v>
      </c>
      <c r="D97" s="24" t="s">
        <v>284</v>
      </c>
      <c r="E97" s="24" t="s">
        <v>285</v>
      </c>
      <c r="F97" s="24" t="s">
        <v>286</v>
      </c>
      <c r="G97" s="24" t="s">
        <v>287</v>
      </c>
      <c r="H97" s="24" t="s">
        <v>286</v>
      </c>
      <c r="I97" s="24" t="s">
        <v>287</v>
      </c>
      <c r="J97" s="24" t="s">
        <v>288</v>
      </c>
      <c r="K97" s="24" t="s">
        <v>234</v>
      </c>
      <c r="L97" s="80" t="s">
        <v>302</v>
      </c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23.25" x14ac:dyDescent="0.35">
      <c r="A98" s="148" t="s">
        <v>90</v>
      </c>
      <c r="B98" s="145" t="s">
        <v>91</v>
      </c>
      <c r="C98" s="145" t="s">
        <v>301</v>
      </c>
      <c r="D98" s="27">
        <v>46086</v>
      </c>
      <c r="E98" s="28" t="s">
        <v>291</v>
      </c>
      <c r="F98" s="29">
        <v>0.29166666666666669</v>
      </c>
      <c r="G98" s="29">
        <v>0.54166666666666663</v>
      </c>
      <c r="H98" s="29">
        <v>0.58333333333333337</v>
      </c>
      <c r="I98" s="29">
        <v>0.79166666666666663</v>
      </c>
      <c r="J98" s="30">
        <f t="shared" ref="J98:J104" si="24">(((I98-H98)+(G98-F98))*24)</f>
        <v>10.999999999999996</v>
      </c>
      <c r="K98" s="30">
        <f t="shared" ref="K98:K100" si="25">J98-8</f>
        <v>2.9999999999999964</v>
      </c>
      <c r="L98" s="81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23.25" x14ac:dyDescent="0.35">
      <c r="A99" s="149"/>
      <c r="B99" s="146"/>
      <c r="C99" s="146"/>
      <c r="D99" s="27">
        <v>46087</v>
      </c>
      <c r="E99" s="28" t="s">
        <v>292</v>
      </c>
      <c r="F99" s="29">
        <v>0.29166666666666669</v>
      </c>
      <c r="G99" s="29">
        <v>0.54166666666666663</v>
      </c>
      <c r="H99" s="29">
        <v>0.58333333333333337</v>
      </c>
      <c r="I99" s="29">
        <v>0.79166666666666663</v>
      </c>
      <c r="J99" s="30">
        <f t="shared" si="24"/>
        <v>10.999999999999996</v>
      </c>
      <c r="K99" s="30">
        <f t="shared" si="25"/>
        <v>2.9999999999999964</v>
      </c>
      <c r="L99" s="81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23.25" x14ac:dyDescent="0.35">
      <c r="A100" s="149"/>
      <c r="B100" s="146"/>
      <c r="C100" s="146"/>
      <c r="D100" s="27">
        <v>46088</v>
      </c>
      <c r="E100" s="28" t="s">
        <v>293</v>
      </c>
      <c r="F100" s="29">
        <v>0.29166666666666669</v>
      </c>
      <c r="G100" s="29">
        <v>0.54166666666666663</v>
      </c>
      <c r="H100" s="29">
        <v>0.58333333333333337</v>
      </c>
      <c r="I100" s="29">
        <v>0.77083333333333337</v>
      </c>
      <c r="J100" s="30">
        <f t="shared" si="24"/>
        <v>10.499999999999998</v>
      </c>
      <c r="K100" s="30">
        <f t="shared" si="25"/>
        <v>2.4999999999999982</v>
      </c>
      <c r="L100" s="81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23.25" x14ac:dyDescent="0.35">
      <c r="A101" s="149"/>
      <c r="B101" s="146"/>
      <c r="C101" s="146"/>
      <c r="D101" s="27">
        <v>46089</v>
      </c>
      <c r="E101" s="28" t="s">
        <v>294</v>
      </c>
      <c r="F101" s="29"/>
      <c r="G101" s="29"/>
      <c r="H101" s="29"/>
      <c r="I101" s="29"/>
      <c r="J101" s="30">
        <f t="shared" si="24"/>
        <v>0</v>
      </c>
      <c r="K101" s="28"/>
      <c r="L101" s="81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23.25" x14ac:dyDescent="0.35">
      <c r="A102" s="149"/>
      <c r="B102" s="146"/>
      <c r="C102" s="146"/>
      <c r="D102" s="27">
        <v>46090</v>
      </c>
      <c r="E102" s="28" t="s">
        <v>295</v>
      </c>
      <c r="F102" s="29">
        <v>0.3125</v>
      </c>
      <c r="G102" s="29">
        <v>0.54166666666666663</v>
      </c>
      <c r="H102" s="29">
        <v>0.58333333333333337</v>
      </c>
      <c r="I102" s="29">
        <v>0.79166666666666663</v>
      </c>
      <c r="J102" s="30">
        <f t="shared" si="24"/>
        <v>10.499999999999996</v>
      </c>
      <c r="K102" s="30">
        <f t="shared" ref="K102:K104" si="26">J102-8</f>
        <v>2.4999999999999964</v>
      </c>
      <c r="L102" s="81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23.25" x14ac:dyDescent="0.35">
      <c r="A103" s="149"/>
      <c r="B103" s="146"/>
      <c r="C103" s="146"/>
      <c r="D103" s="27">
        <v>46091</v>
      </c>
      <c r="E103" s="28" t="s">
        <v>296</v>
      </c>
      <c r="F103" s="29">
        <v>0.33333333333333331</v>
      </c>
      <c r="G103" s="29">
        <v>0.54166666666666663</v>
      </c>
      <c r="H103" s="29">
        <v>0.58333333333333337</v>
      </c>
      <c r="I103" s="29">
        <v>0.79166666666666663</v>
      </c>
      <c r="J103" s="30">
        <f t="shared" si="24"/>
        <v>9.9999999999999982</v>
      </c>
      <c r="K103" s="30">
        <f t="shared" si="26"/>
        <v>1.9999999999999982</v>
      </c>
      <c r="L103" s="81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23.25" x14ac:dyDescent="0.35">
      <c r="A104" s="149"/>
      <c r="B104" s="146"/>
      <c r="C104" s="146"/>
      <c r="D104" s="27">
        <v>46092</v>
      </c>
      <c r="E104" s="28" t="s">
        <v>297</v>
      </c>
      <c r="F104" s="29">
        <v>0.31944444444444442</v>
      </c>
      <c r="G104" s="29">
        <v>0.54166666666666663</v>
      </c>
      <c r="H104" s="29">
        <v>0.58333333333333337</v>
      </c>
      <c r="I104" s="29">
        <v>0.79166666666666663</v>
      </c>
      <c r="J104" s="30">
        <f t="shared" si="24"/>
        <v>10.333333333333332</v>
      </c>
      <c r="K104" s="32">
        <f t="shared" si="26"/>
        <v>2.3333333333333321</v>
      </c>
      <c r="L104" s="82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23.25" x14ac:dyDescent="0.35">
      <c r="A105" s="149"/>
      <c r="B105" s="146"/>
      <c r="C105" s="146"/>
      <c r="D105" s="27"/>
      <c r="E105" s="28"/>
      <c r="F105" s="28"/>
      <c r="G105" s="28"/>
      <c r="H105" s="26"/>
      <c r="I105" s="34" t="s">
        <v>298</v>
      </c>
      <c r="J105" s="35">
        <v>800</v>
      </c>
      <c r="K105" s="34"/>
      <c r="L105" s="34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3.25" x14ac:dyDescent="0.35">
      <c r="A106" s="149"/>
      <c r="B106" s="146"/>
      <c r="C106" s="146"/>
      <c r="D106" s="27"/>
      <c r="E106" s="28"/>
      <c r="F106" s="28"/>
      <c r="G106" s="28"/>
      <c r="H106" s="37"/>
      <c r="I106" s="34" t="s">
        <v>299</v>
      </c>
      <c r="J106" s="35">
        <f>J105*6</f>
        <v>4800</v>
      </c>
      <c r="K106" s="35">
        <f>(J105/8)*(SUM(K98:K104))</f>
        <v>1533.3333333333319</v>
      </c>
      <c r="L106" s="34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ht="23.25" x14ac:dyDescent="0.35">
      <c r="A107" s="150"/>
      <c r="B107" s="147"/>
      <c r="C107" s="147"/>
      <c r="D107" s="38"/>
      <c r="E107" s="39"/>
      <c r="F107" s="39"/>
      <c r="G107" s="39"/>
      <c r="H107" s="40"/>
      <c r="I107" s="41" t="s">
        <v>300</v>
      </c>
      <c r="J107" s="42">
        <f>SUM(J106:K106)</f>
        <v>6333.3333333333321</v>
      </c>
      <c r="K107" s="34"/>
      <c r="L107" s="34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ht="23.25" x14ac:dyDescent="0.35">
      <c r="A108" s="26"/>
      <c r="B108" s="43"/>
      <c r="C108" s="43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ht="46.5" x14ac:dyDescent="0.35">
      <c r="A109" s="79" t="s">
        <v>93</v>
      </c>
      <c r="B109" s="23" t="s">
        <v>94</v>
      </c>
      <c r="C109" s="23" t="s">
        <v>1</v>
      </c>
      <c r="D109" s="24" t="s">
        <v>284</v>
      </c>
      <c r="E109" s="24" t="s">
        <v>285</v>
      </c>
      <c r="F109" s="24" t="s">
        <v>286</v>
      </c>
      <c r="G109" s="24" t="s">
        <v>287</v>
      </c>
      <c r="H109" s="24" t="s">
        <v>286</v>
      </c>
      <c r="I109" s="24" t="s">
        <v>287</v>
      </c>
      <c r="J109" s="24" t="s">
        <v>288</v>
      </c>
      <c r="K109" s="24" t="s">
        <v>234</v>
      </c>
      <c r="L109" s="80" t="s">
        <v>302</v>
      </c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ht="23.25" x14ac:dyDescent="0.35">
      <c r="A110" s="148" t="s">
        <v>83</v>
      </c>
      <c r="B110" s="145" t="s">
        <v>84</v>
      </c>
      <c r="C110" s="145" t="s">
        <v>301</v>
      </c>
      <c r="D110" s="27">
        <v>46086</v>
      </c>
      <c r="E110" s="28" t="s">
        <v>291</v>
      </c>
      <c r="F110" s="29">
        <v>0.29166666666666669</v>
      </c>
      <c r="G110" s="29">
        <v>0.54166666666666663</v>
      </c>
      <c r="H110" s="29">
        <v>0.58333333333333337</v>
      </c>
      <c r="I110" s="29">
        <v>0.79166666666666663</v>
      </c>
      <c r="J110" s="30">
        <f t="shared" ref="J110:J116" si="27">(((I110-H110)+(G110-F110))*24)</f>
        <v>10.999999999999996</v>
      </c>
      <c r="K110" s="30">
        <f t="shared" ref="K110:K112" si="28">J110-8</f>
        <v>2.9999999999999964</v>
      </c>
      <c r="L110" s="81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23.25" x14ac:dyDescent="0.35">
      <c r="A111" s="149"/>
      <c r="B111" s="146"/>
      <c r="C111" s="146"/>
      <c r="D111" s="27">
        <v>46087</v>
      </c>
      <c r="E111" s="28" t="s">
        <v>292</v>
      </c>
      <c r="F111" s="29">
        <v>0.29166666666666669</v>
      </c>
      <c r="G111" s="29">
        <v>0.54166666666666663</v>
      </c>
      <c r="H111" s="29">
        <v>0.58333333333333337</v>
      </c>
      <c r="I111" s="29">
        <v>0.79166666666666663</v>
      </c>
      <c r="J111" s="30">
        <f t="shared" si="27"/>
        <v>10.999999999999996</v>
      </c>
      <c r="K111" s="30">
        <f t="shared" si="28"/>
        <v>2.9999999999999964</v>
      </c>
      <c r="L111" s="81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ht="23.25" x14ac:dyDescent="0.35">
      <c r="A112" s="149"/>
      <c r="B112" s="146"/>
      <c r="C112" s="146"/>
      <c r="D112" s="27">
        <v>46088</v>
      </c>
      <c r="E112" s="28" t="s">
        <v>293</v>
      </c>
      <c r="F112" s="29">
        <v>0.29166666666666669</v>
      </c>
      <c r="G112" s="29">
        <v>0.54166666666666663</v>
      </c>
      <c r="H112" s="29">
        <v>0.58333333333333337</v>
      </c>
      <c r="I112" s="29">
        <v>0.79166666666666663</v>
      </c>
      <c r="J112" s="30">
        <f t="shared" si="27"/>
        <v>10.999999999999996</v>
      </c>
      <c r="K112" s="30">
        <f t="shared" si="28"/>
        <v>2.9999999999999964</v>
      </c>
      <c r="L112" s="81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ht="23.25" x14ac:dyDescent="0.35">
      <c r="A113" s="149"/>
      <c r="B113" s="146"/>
      <c r="C113" s="146"/>
      <c r="D113" s="27">
        <v>46089</v>
      </c>
      <c r="E113" s="28" t="s">
        <v>294</v>
      </c>
      <c r="F113" s="29"/>
      <c r="G113" s="29"/>
      <c r="H113" s="29"/>
      <c r="I113" s="29"/>
      <c r="J113" s="30">
        <f t="shared" si="27"/>
        <v>0</v>
      </c>
      <c r="K113" s="28"/>
      <c r="L113" s="81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ht="23.25" x14ac:dyDescent="0.35">
      <c r="A114" s="149"/>
      <c r="B114" s="146"/>
      <c r="C114" s="146"/>
      <c r="D114" s="27">
        <v>46090</v>
      </c>
      <c r="E114" s="28" t="s">
        <v>295</v>
      </c>
      <c r="F114" s="29">
        <v>0.3125</v>
      </c>
      <c r="G114" s="29">
        <v>0.54166666666666663</v>
      </c>
      <c r="H114" s="29">
        <v>0.58333333333333337</v>
      </c>
      <c r="I114" s="29">
        <v>0.83333333333333337</v>
      </c>
      <c r="J114" s="30">
        <f t="shared" si="27"/>
        <v>11.5</v>
      </c>
      <c r="K114" s="30">
        <f t="shared" ref="K114:K116" si="29">J114-8</f>
        <v>3.5</v>
      </c>
      <c r="L114" s="81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ht="23.25" x14ac:dyDescent="0.35">
      <c r="A115" s="149"/>
      <c r="B115" s="146"/>
      <c r="C115" s="146"/>
      <c r="D115" s="27">
        <v>46091</v>
      </c>
      <c r="E115" s="28" t="s">
        <v>296</v>
      </c>
      <c r="F115" s="29">
        <v>0.33333333333333331</v>
      </c>
      <c r="G115" s="29">
        <v>0.54166666666666663</v>
      </c>
      <c r="H115" s="29">
        <v>0.58333333333333337</v>
      </c>
      <c r="I115" s="29">
        <v>0.79166666666666663</v>
      </c>
      <c r="J115" s="30">
        <f t="shared" si="27"/>
        <v>9.9999999999999982</v>
      </c>
      <c r="K115" s="30">
        <f t="shared" si="29"/>
        <v>1.9999999999999982</v>
      </c>
      <c r="L115" s="81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ht="23.25" x14ac:dyDescent="0.35">
      <c r="A116" s="149"/>
      <c r="B116" s="146"/>
      <c r="C116" s="146"/>
      <c r="D116" s="27">
        <v>46092</v>
      </c>
      <c r="E116" s="28" t="s">
        <v>297</v>
      </c>
      <c r="F116" s="29">
        <v>0.31944444444444442</v>
      </c>
      <c r="G116" s="29">
        <v>0.54166666666666663</v>
      </c>
      <c r="H116" s="29">
        <v>0.58333333333333337</v>
      </c>
      <c r="I116" s="29">
        <v>0.79166666666666663</v>
      </c>
      <c r="J116" s="30">
        <f t="shared" si="27"/>
        <v>10.333333333333332</v>
      </c>
      <c r="K116" s="32">
        <f t="shared" si="29"/>
        <v>2.3333333333333321</v>
      </c>
      <c r="L116" s="82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ht="23.25" x14ac:dyDescent="0.35">
      <c r="A117" s="149"/>
      <c r="B117" s="146"/>
      <c r="C117" s="146"/>
      <c r="D117" s="27"/>
      <c r="E117" s="28"/>
      <c r="F117" s="28"/>
      <c r="G117" s="28"/>
      <c r="H117" s="26"/>
      <c r="I117" s="34" t="s">
        <v>298</v>
      </c>
      <c r="J117" s="35">
        <v>800</v>
      </c>
      <c r="K117" s="34"/>
      <c r="L117" s="34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ht="23.25" x14ac:dyDescent="0.35">
      <c r="A118" s="149"/>
      <c r="B118" s="146"/>
      <c r="C118" s="146"/>
      <c r="D118" s="27"/>
      <c r="E118" s="28"/>
      <c r="F118" s="28"/>
      <c r="G118" s="28"/>
      <c r="H118" s="37"/>
      <c r="I118" s="34" t="s">
        <v>299</v>
      </c>
      <c r="J118" s="35">
        <f>J117*6</f>
        <v>4800</v>
      </c>
      <c r="K118" s="35">
        <f>(J117/8)*(SUM(K110:K116))</f>
        <v>1683.3333333333321</v>
      </c>
      <c r="L118" s="34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ht="23.25" x14ac:dyDescent="0.35">
      <c r="A119" s="150"/>
      <c r="B119" s="147"/>
      <c r="C119" s="147"/>
      <c r="D119" s="38"/>
      <c r="E119" s="39"/>
      <c r="F119" s="39"/>
      <c r="G119" s="39"/>
      <c r="H119" s="40"/>
      <c r="I119" s="41" t="s">
        <v>300</v>
      </c>
      <c r="J119" s="42">
        <f>SUM(J118:K118)</f>
        <v>6483.3333333333321</v>
      </c>
      <c r="K119" s="34"/>
      <c r="L119" s="34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ht="23.25" x14ac:dyDescent="0.35">
      <c r="A120" s="26"/>
      <c r="B120" s="43"/>
      <c r="C120" s="43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ht="46.5" x14ac:dyDescent="0.35">
      <c r="A121" s="79" t="s">
        <v>93</v>
      </c>
      <c r="B121" s="23" t="s">
        <v>94</v>
      </c>
      <c r="C121" s="23" t="s">
        <v>1</v>
      </c>
      <c r="D121" s="24" t="s">
        <v>284</v>
      </c>
      <c r="E121" s="24" t="s">
        <v>285</v>
      </c>
      <c r="F121" s="24" t="s">
        <v>286</v>
      </c>
      <c r="G121" s="24" t="s">
        <v>287</v>
      </c>
      <c r="H121" s="24" t="s">
        <v>286</v>
      </c>
      <c r="I121" s="24" t="s">
        <v>287</v>
      </c>
      <c r="J121" s="24" t="s">
        <v>288</v>
      </c>
      <c r="K121" s="24" t="s">
        <v>234</v>
      </c>
      <c r="L121" s="80" t="s">
        <v>302</v>
      </c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ht="23.25" x14ac:dyDescent="0.35">
      <c r="A122" s="148" t="s">
        <v>75</v>
      </c>
      <c r="B122" s="145" t="s">
        <v>76</v>
      </c>
      <c r="C122" s="145" t="s">
        <v>77</v>
      </c>
      <c r="D122" s="27">
        <v>46086</v>
      </c>
      <c r="E122" s="28" t="s">
        <v>291</v>
      </c>
      <c r="F122" s="29">
        <v>0.29166666666666669</v>
      </c>
      <c r="G122" s="29">
        <v>0.54166666666666663</v>
      </c>
      <c r="H122" s="29">
        <v>0.58333333333333337</v>
      </c>
      <c r="I122" s="29">
        <v>0.79166666666666663</v>
      </c>
      <c r="J122" s="30">
        <f t="shared" ref="J122:J128" si="30">(((I122-H122)+(G122-F122))*24)</f>
        <v>10.999999999999996</v>
      </c>
      <c r="K122" s="30">
        <f t="shared" ref="K122:K124" si="31">J122-8</f>
        <v>2.9999999999999964</v>
      </c>
      <c r="L122" s="81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3.25" x14ac:dyDescent="0.35">
      <c r="A123" s="149"/>
      <c r="B123" s="146"/>
      <c r="C123" s="146"/>
      <c r="D123" s="27">
        <v>46087</v>
      </c>
      <c r="E123" s="28" t="s">
        <v>292</v>
      </c>
      <c r="F123" s="29">
        <v>0.29166666666666669</v>
      </c>
      <c r="G123" s="29">
        <v>0.54166666666666663</v>
      </c>
      <c r="H123" s="29">
        <v>0.58333333333333337</v>
      </c>
      <c r="I123" s="29">
        <v>0.79166666666666663</v>
      </c>
      <c r="J123" s="30">
        <f t="shared" si="30"/>
        <v>10.999999999999996</v>
      </c>
      <c r="K123" s="30">
        <f t="shared" si="31"/>
        <v>2.9999999999999964</v>
      </c>
      <c r="L123" s="81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ht="23.25" x14ac:dyDescent="0.35">
      <c r="A124" s="149"/>
      <c r="B124" s="146"/>
      <c r="C124" s="146"/>
      <c r="D124" s="27">
        <v>46088</v>
      </c>
      <c r="E124" s="28" t="s">
        <v>293</v>
      </c>
      <c r="F124" s="29">
        <v>0.29166666666666669</v>
      </c>
      <c r="G124" s="29">
        <v>0.54166666666666663</v>
      </c>
      <c r="H124" s="29">
        <v>0.58333333333333337</v>
      </c>
      <c r="I124" s="29">
        <v>0.77083333333333337</v>
      </c>
      <c r="J124" s="30">
        <f t="shared" si="30"/>
        <v>10.499999999999998</v>
      </c>
      <c r="K124" s="30">
        <f t="shared" si="31"/>
        <v>2.4999999999999982</v>
      </c>
      <c r="L124" s="81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ht="23.25" x14ac:dyDescent="0.35">
      <c r="A125" s="149"/>
      <c r="B125" s="146"/>
      <c r="C125" s="146"/>
      <c r="D125" s="27">
        <v>46089</v>
      </c>
      <c r="E125" s="28" t="s">
        <v>294</v>
      </c>
      <c r="F125" s="29"/>
      <c r="G125" s="29"/>
      <c r="H125" s="29"/>
      <c r="I125" s="29"/>
      <c r="J125" s="30">
        <f t="shared" si="30"/>
        <v>0</v>
      </c>
      <c r="K125" s="28"/>
      <c r="L125" s="81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ht="23.25" x14ac:dyDescent="0.35">
      <c r="A126" s="149"/>
      <c r="B126" s="146"/>
      <c r="C126" s="146"/>
      <c r="D126" s="27">
        <v>46090</v>
      </c>
      <c r="E126" s="28" t="s">
        <v>295</v>
      </c>
      <c r="F126" s="29">
        <v>0.3125</v>
      </c>
      <c r="G126" s="29"/>
      <c r="H126" s="29"/>
      <c r="I126" s="29">
        <v>0.86458333333333337</v>
      </c>
      <c r="J126" s="30">
        <f t="shared" si="30"/>
        <v>13.25</v>
      </c>
      <c r="K126" s="30">
        <f t="shared" ref="K126:K128" si="32">J126-8</f>
        <v>5.25</v>
      </c>
      <c r="L126" s="81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ht="23.25" x14ac:dyDescent="0.35">
      <c r="A127" s="149"/>
      <c r="B127" s="146"/>
      <c r="C127" s="146"/>
      <c r="D127" s="27">
        <v>46091</v>
      </c>
      <c r="E127" s="28" t="s">
        <v>296</v>
      </c>
      <c r="F127" s="29">
        <v>0.33333333333333331</v>
      </c>
      <c r="G127" s="29">
        <v>0.54166666666666663</v>
      </c>
      <c r="H127" s="29">
        <v>0.58333333333333337</v>
      </c>
      <c r="I127" s="29">
        <v>0.81944444444444442</v>
      </c>
      <c r="J127" s="30">
        <f t="shared" si="30"/>
        <v>10.666666666666664</v>
      </c>
      <c r="K127" s="30">
        <f t="shared" si="32"/>
        <v>2.6666666666666643</v>
      </c>
      <c r="L127" s="81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ht="23.25" x14ac:dyDescent="0.35">
      <c r="A128" s="149"/>
      <c r="B128" s="146"/>
      <c r="C128" s="146"/>
      <c r="D128" s="27">
        <v>46092</v>
      </c>
      <c r="E128" s="28" t="s">
        <v>297</v>
      </c>
      <c r="F128" s="29">
        <v>0.31944444444444442</v>
      </c>
      <c r="G128" s="29">
        <v>0.54166666666666663</v>
      </c>
      <c r="H128" s="29">
        <v>0.58333333333333337</v>
      </c>
      <c r="I128" s="29">
        <v>0.76041666666666663</v>
      </c>
      <c r="J128" s="30">
        <f t="shared" si="30"/>
        <v>9.5833333333333321</v>
      </c>
      <c r="K128" s="32">
        <f t="shared" si="32"/>
        <v>1.5833333333333321</v>
      </c>
      <c r="L128" s="82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ht="23.25" x14ac:dyDescent="0.35">
      <c r="A129" s="149"/>
      <c r="B129" s="146"/>
      <c r="C129" s="146"/>
      <c r="D129" s="27"/>
      <c r="E129" s="28"/>
      <c r="F129" s="28"/>
      <c r="G129" s="28"/>
      <c r="H129" s="26"/>
      <c r="I129" s="34" t="s">
        <v>298</v>
      </c>
      <c r="J129" s="35">
        <v>1000</v>
      </c>
      <c r="K129" s="34"/>
      <c r="L129" s="34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ht="23.25" x14ac:dyDescent="0.35">
      <c r="A130" s="149"/>
      <c r="B130" s="146"/>
      <c r="C130" s="146"/>
      <c r="D130" s="27"/>
      <c r="E130" s="28"/>
      <c r="F130" s="28"/>
      <c r="G130" s="28"/>
      <c r="H130" s="37"/>
      <c r="I130" s="34" t="s">
        <v>299</v>
      </c>
      <c r="J130" s="35">
        <f>J129*6</f>
        <v>6000</v>
      </c>
      <c r="K130" s="35">
        <f>(J129/8)*(SUM(K122:K128))</f>
        <v>2249.9999999999986</v>
      </c>
      <c r="L130" s="34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ht="23.25" x14ac:dyDescent="0.35">
      <c r="A131" s="150"/>
      <c r="B131" s="147"/>
      <c r="C131" s="147"/>
      <c r="D131" s="38"/>
      <c r="E131" s="39"/>
      <c r="F131" s="39"/>
      <c r="G131" s="39"/>
      <c r="H131" s="40"/>
      <c r="I131" s="41" t="s">
        <v>300</v>
      </c>
      <c r="J131" s="42">
        <f>SUM(J130:K130)</f>
        <v>8249.9999999999982</v>
      </c>
      <c r="K131" s="34"/>
      <c r="L131" s="34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ht="23.25" x14ac:dyDescent="0.35">
      <c r="A132" s="26"/>
      <c r="B132" s="43"/>
      <c r="C132" s="43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ht="46.5" x14ac:dyDescent="0.35">
      <c r="A133" s="79" t="s">
        <v>93</v>
      </c>
      <c r="B133" s="23" t="s">
        <v>94</v>
      </c>
      <c r="C133" s="23" t="s">
        <v>1</v>
      </c>
      <c r="D133" s="24" t="s">
        <v>284</v>
      </c>
      <c r="E133" s="24" t="s">
        <v>285</v>
      </c>
      <c r="F133" s="24" t="s">
        <v>286</v>
      </c>
      <c r="G133" s="24" t="s">
        <v>287</v>
      </c>
      <c r="H133" s="24" t="s">
        <v>286</v>
      </c>
      <c r="I133" s="24" t="s">
        <v>287</v>
      </c>
      <c r="J133" s="24" t="s">
        <v>288</v>
      </c>
      <c r="K133" s="24" t="s">
        <v>234</v>
      </c>
      <c r="L133" s="80" t="s">
        <v>302</v>
      </c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ht="23.25" x14ac:dyDescent="0.35">
      <c r="A134" s="148" t="s">
        <v>87</v>
      </c>
      <c r="B134" s="145" t="s">
        <v>88</v>
      </c>
      <c r="C134" s="145" t="s">
        <v>301</v>
      </c>
      <c r="D134" s="27">
        <v>46086</v>
      </c>
      <c r="E134" s="28" t="s">
        <v>291</v>
      </c>
      <c r="F134" s="29">
        <v>0.29166666666666669</v>
      </c>
      <c r="G134" s="29">
        <v>0.54166666666666663</v>
      </c>
      <c r="H134" s="29">
        <v>0.58333333333333337</v>
      </c>
      <c r="I134" s="29">
        <v>0.79166666666666663</v>
      </c>
      <c r="J134" s="30">
        <f t="shared" ref="J134:J140" si="33">(((I134-H134)+(G134-F134))*24)</f>
        <v>10.999999999999996</v>
      </c>
      <c r="K134" s="30">
        <f t="shared" ref="K134:K136" si="34">J134-8</f>
        <v>2.9999999999999964</v>
      </c>
      <c r="L134" s="81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ht="23.25" x14ac:dyDescent="0.35">
      <c r="A135" s="149"/>
      <c r="B135" s="146"/>
      <c r="C135" s="146"/>
      <c r="D135" s="27">
        <v>46087</v>
      </c>
      <c r="E135" s="28" t="s">
        <v>292</v>
      </c>
      <c r="F135" s="29">
        <v>0.29166666666666669</v>
      </c>
      <c r="G135" s="29">
        <v>0.54166666666666663</v>
      </c>
      <c r="H135" s="29">
        <v>0.58333333333333337</v>
      </c>
      <c r="I135" s="29">
        <v>0.79166666666666663</v>
      </c>
      <c r="J135" s="30">
        <f t="shared" si="33"/>
        <v>10.999999999999996</v>
      </c>
      <c r="K135" s="30">
        <f t="shared" si="34"/>
        <v>2.9999999999999964</v>
      </c>
      <c r="L135" s="81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ht="23.25" x14ac:dyDescent="0.35">
      <c r="A136" s="149"/>
      <c r="B136" s="146"/>
      <c r="C136" s="146"/>
      <c r="D136" s="27">
        <v>46088</v>
      </c>
      <c r="E136" s="28" t="s">
        <v>293</v>
      </c>
      <c r="F136" s="29">
        <v>0.29166666666666669</v>
      </c>
      <c r="G136" s="29">
        <v>0.54166666666666663</v>
      </c>
      <c r="H136" s="29">
        <v>0.58333333333333337</v>
      </c>
      <c r="I136" s="29">
        <v>0.79166666666666663</v>
      </c>
      <c r="J136" s="30">
        <f t="shared" si="33"/>
        <v>10.999999999999996</v>
      </c>
      <c r="K136" s="30">
        <f t="shared" si="34"/>
        <v>2.9999999999999964</v>
      </c>
      <c r="L136" s="81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ht="23.25" x14ac:dyDescent="0.35">
      <c r="A137" s="149"/>
      <c r="B137" s="146"/>
      <c r="C137" s="146"/>
      <c r="D137" s="27">
        <v>46089</v>
      </c>
      <c r="E137" s="28" t="s">
        <v>294</v>
      </c>
      <c r="F137" s="29"/>
      <c r="G137" s="29"/>
      <c r="H137" s="29"/>
      <c r="I137" s="29"/>
      <c r="J137" s="30">
        <f t="shared" si="33"/>
        <v>0</v>
      </c>
      <c r="K137" s="28"/>
      <c r="L137" s="81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23.25" x14ac:dyDescent="0.35">
      <c r="A138" s="149"/>
      <c r="B138" s="146"/>
      <c r="C138" s="146"/>
      <c r="D138" s="27">
        <v>46090</v>
      </c>
      <c r="E138" s="28" t="s">
        <v>295</v>
      </c>
      <c r="F138" s="29">
        <v>0.29166666666666669</v>
      </c>
      <c r="G138" s="29">
        <v>0.54166666666666663</v>
      </c>
      <c r="H138" s="29">
        <v>0.58333333333333337</v>
      </c>
      <c r="I138" s="29">
        <v>0.79166666666666663</v>
      </c>
      <c r="J138" s="30">
        <f t="shared" si="33"/>
        <v>10.999999999999996</v>
      </c>
      <c r="K138" s="30">
        <f t="shared" ref="K138:K140" si="35">J138-8</f>
        <v>2.9999999999999964</v>
      </c>
      <c r="L138" s="81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ht="23.25" x14ac:dyDescent="0.35">
      <c r="A139" s="149"/>
      <c r="B139" s="146"/>
      <c r="C139" s="146"/>
      <c r="D139" s="27">
        <v>46091</v>
      </c>
      <c r="E139" s="28" t="s">
        <v>296</v>
      </c>
      <c r="F139" s="29">
        <v>0.33333333333333331</v>
      </c>
      <c r="G139" s="29">
        <v>0.54166666666666663</v>
      </c>
      <c r="H139" s="29">
        <v>0.58333333333333337</v>
      </c>
      <c r="I139" s="29">
        <v>0.79166666666666663</v>
      </c>
      <c r="J139" s="30">
        <f t="shared" si="33"/>
        <v>9.9999999999999982</v>
      </c>
      <c r="K139" s="30">
        <f t="shared" si="35"/>
        <v>1.9999999999999982</v>
      </c>
      <c r="L139" s="81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ht="23.25" x14ac:dyDescent="0.35">
      <c r="A140" s="149"/>
      <c r="B140" s="146"/>
      <c r="C140" s="146"/>
      <c r="D140" s="27">
        <v>46092</v>
      </c>
      <c r="E140" s="28" t="s">
        <v>297</v>
      </c>
      <c r="F140" s="29">
        <v>0.3263888888888889</v>
      </c>
      <c r="G140" s="29">
        <v>0.54166666666666663</v>
      </c>
      <c r="H140" s="29">
        <v>0.58333333333333337</v>
      </c>
      <c r="I140" s="29">
        <v>0.76041666666666663</v>
      </c>
      <c r="J140" s="30">
        <f t="shared" si="33"/>
        <v>9.4166666666666643</v>
      </c>
      <c r="K140" s="32">
        <f t="shared" si="35"/>
        <v>1.4166666666666643</v>
      </c>
      <c r="L140" s="82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ht="23.25" x14ac:dyDescent="0.35">
      <c r="A141" s="149"/>
      <c r="B141" s="146"/>
      <c r="C141" s="146"/>
      <c r="D141" s="27"/>
      <c r="E141" s="28"/>
      <c r="F141" s="28"/>
      <c r="G141" s="28"/>
      <c r="H141" s="26"/>
      <c r="I141" s="34" t="s">
        <v>298</v>
      </c>
      <c r="J141" s="35">
        <v>800</v>
      </c>
      <c r="K141" s="34"/>
      <c r="L141" s="34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ht="23.25" x14ac:dyDescent="0.35">
      <c r="A142" s="149"/>
      <c r="B142" s="146"/>
      <c r="C142" s="146"/>
      <c r="D142" s="27"/>
      <c r="E142" s="28"/>
      <c r="F142" s="28"/>
      <c r="G142" s="28"/>
      <c r="H142" s="37"/>
      <c r="I142" s="34" t="s">
        <v>299</v>
      </c>
      <c r="J142" s="35">
        <f>J141*6</f>
        <v>4800</v>
      </c>
      <c r="K142" s="35">
        <f>(J141/8)*(SUM(K134:K140))</f>
        <v>1541.6666666666649</v>
      </c>
      <c r="L142" s="34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ht="23.25" x14ac:dyDescent="0.35">
      <c r="A143" s="150"/>
      <c r="B143" s="147"/>
      <c r="C143" s="147"/>
      <c r="D143" s="38"/>
      <c r="E143" s="39"/>
      <c r="F143" s="39"/>
      <c r="G143" s="39"/>
      <c r="H143" s="40"/>
      <c r="I143" s="41" t="s">
        <v>300</v>
      </c>
      <c r="J143" s="42">
        <f>SUM(J142:K142)</f>
        <v>6341.6666666666652</v>
      </c>
      <c r="K143" s="34"/>
      <c r="L143" s="34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ht="23.25" x14ac:dyDescent="0.35">
      <c r="A144" s="26"/>
      <c r="B144" s="43"/>
      <c r="C144" s="43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ht="46.5" x14ac:dyDescent="0.35">
      <c r="A145" s="79" t="s">
        <v>93</v>
      </c>
      <c r="B145" s="23" t="s">
        <v>94</v>
      </c>
      <c r="C145" s="23" t="s">
        <v>1</v>
      </c>
      <c r="D145" s="24" t="s">
        <v>284</v>
      </c>
      <c r="E145" s="24" t="s">
        <v>285</v>
      </c>
      <c r="F145" s="24" t="s">
        <v>286</v>
      </c>
      <c r="G145" s="24" t="s">
        <v>287</v>
      </c>
      <c r="H145" s="24" t="s">
        <v>286</v>
      </c>
      <c r="I145" s="24" t="s">
        <v>287</v>
      </c>
      <c r="J145" s="24" t="s">
        <v>288</v>
      </c>
      <c r="K145" s="24" t="s">
        <v>234</v>
      </c>
      <c r="L145" s="80" t="s">
        <v>302</v>
      </c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ht="23.25" x14ac:dyDescent="0.35">
      <c r="A146" s="148" t="s">
        <v>353</v>
      </c>
      <c r="B146" s="145" t="s">
        <v>117</v>
      </c>
      <c r="C146" s="145" t="s">
        <v>301</v>
      </c>
      <c r="D146" s="27">
        <v>46086</v>
      </c>
      <c r="E146" s="28" t="s">
        <v>291</v>
      </c>
      <c r="F146" s="29">
        <v>0.29166666666666669</v>
      </c>
      <c r="G146" s="29">
        <v>0.54166666666666663</v>
      </c>
      <c r="H146" s="29">
        <v>0.58333333333333337</v>
      </c>
      <c r="I146" s="29">
        <v>0.875</v>
      </c>
      <c r="J146" s="30">
        <f t="shared" ref="J146:J152" si="36">(((I146-H146)+(G146-F146))*24)</f>
        <v>12.999999999999996</v>
      </c>
      <c r="K146" s="30">
        <f t="shared" ref="K146:K148" si="37">J146-8</f>
        <v>4.9999999999999964</v>
      </c>
      <c r="L146" s="81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ht="23.25" x14ac:dyDescent="0.35">
      <c r="A147" s="149"/>
      <c r="B147" s="146"/>
      <c r="C147" s="146"/>
      <c r="D147" s="27">
        <v>46087</v>
      </c>
      <c r="E147" s="28" t="s">
        <v>292</v>
      </c>
      <c r="F147" s="29">
        <v>0.29166666666666669</v>
      </c>
      <c r="G147" s="29">
        <v>0.54166666666666663</v>
      </c>
      <c r="H147" s="29">
        <v>0.58333333333333337</v>
      </c>
      <c r="I147" s="29">
        <v>0.75</v>
      </c>
      <c r="J147" s="30">
        <f t="shared" si="36"/>
        <v>9.9999999999999982</v>
      </c>
      <c r="K147" s="30">
        <f t="shared" si="37"/>
        <v>1.9999999999999982</v>
      </c>
      <c r="L147" s="81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ht="23.25" x14ac:dyDescent="0.35">
      <c r="A148" s="149"/>
      <c r="B148" s="146"/>
      <c r="C148" s="146"/>
      <c r="D148" s="27">
        <v>46088</v>
      </c>
      <c r="E148" s="28" t="s">
        <v>293</v>
      </c>
      <c r="F148" s="29">
        <v>0.29166666666666669</v>
      </c>
      <c r="G148" s="29">
        <v>0.54166666666666663</v>
      </c>
      <c r="H148" s="29">
        <v>0.58333333333333337</v>
      </c>
      <c r="I148" s="29">
        <v>0.77083333333333337</v>
      </c>
      <c r="J148" s="30">
        <f t="shared" si="36"/>
        <v>10.499999999999998</v>
      </c>
      <c r="K148" s="30">
        <f t="shared" si="37"/>
        <v>2.4999999999999982</v>
      </c>
      <c r="L148" s="81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ht="23.25" x14ac:dyDescent="0.35">
      <c r="A149" s="149"/>
      <c r="B149" s="146"/>
      <c r="C149" s="146"/>
      <c r="D149" s="27">
        <v>46089</v>
      </c>
      <c r="E149" s="28" t="s">
        <v>294</v>
      </c>
      <c r="F149" s="29"/>
      <c r="G149" s="29"/>
      <c r="H149" s="29"/>
      <c r="I149" s="29"/>
      <c r="J149" s="30">
        <f t="shared" si="36"/>
        <v>0</v>
      </c>
      <c r="K149" s="28"/>
      <c r="L149" s="81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ht="23.25" x14ac:dyDescent="0.35">
      <c r="A150" s="149"/>
      <c r="B150" s="146"/>
      <c r="C150" s="146"/>
      <c r="D150" s="27">
        <v>46090</v>
      </c>
      <c r="E150" s="28" t="s">
        <v>295</v>
      </c>
      <c r="F150" s="29">
        <v>0.3125</v>
      </c>
      <c r="G150" s="29">
        <v>0.54166666666666663</v>
      </c>
      <c r="H150" s="29">
        <v>0.58333333333333337</v>
      </c>
      <c r="I150" s="29">
        <v>0.72916666666666663</v>
      </c>
      <c r="J150" s="30">
        <f t="shared" si="36"/>
        <v>8.9999999999999964</v>
      </c>
      <c r="K150" s="30">
        <f t="shared" ref="K150:K152" si="38">J150-8</f>
        <v>0.99999999999999645</v>
      </c>
      <c r="L150" s="81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ht="23.25" x14ac:dyDescent="0.35">
      <c r="A151" s="149"/>
      <c r="B151" s="146"/>
      <c r="C151" s="146"/>
      <c r="D151" s="27">
        <v>46091</v>
      </c>
      <c r="E151" s="28" t="s">
        <v>296</v>
      </c>
      <c r="F151" s="29">
        <v>0.3298611111111111</v>
      </c>
      <c r="G151" s="29">
        <v>0.54166666666666663</v>
      </c>
      <c r="H151" s="29">
        <v>0.58333333333333337</v>
      </c>
      <c r="I151" s="29">
        <v>0.75</v>
      </c>
      <c r="J151" s="30">
        <f t="shared" si="36"/>
        <v>9.0833333333333321</v>
      </c>
      <c r="K151" s="30">
        <f t="shared" si="38"/>
        <v>1.0833333333333321</v>
      </c>
      <c r="L151" s="81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 ht="23.25" x14ac:dyDescent="0.35">
      <c r="A152" s="149"/>
      <c r="B152" s="146"/>
      <c r="C152" s="146"/>
      <c r="D152" s="27">
        <v>46092</v>
      </c>
      <c r="E152" s="28" t="s">
        <v>297</v>
      </c>
      <c r="F152" s="29">
        <v>0.3263888888888889</v>
      </c>
      <c r="G152" s="29">
        <v>0.54166666666666663</v>
      </c>
      <c r="H152" s="29">
        <v>0.58333333333333337</v>
      </c>
      <c r="I152" s="29">
        <v>0.75</v>
      </c>
      <c r="J152" s="30">
        <f t="shared" si="36"/>
        <v>9.1666666666666643</v>
      </c>
      <c r="K152" s="32">
        <f t="shared" si="38"/>
        <v>1.1666666666666643</v>
      </c>
      <c r="L152" s="82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 ht="23.25" x14ac:dyDescent="0.35">
      <c r="A153" s="149"/>
      <c r="B153" s="146"/>
      <c r="C153" s="146"/>
      <c r="D153" s="27"/>
      <c r="E153" s="28"/>
      <c r="F153" s="28"/>
      <c r="G153" s="28"/>
      <c r="H153" s="26"/>
      <c r="I153" s="34" t="s">
        <v>298</v>
      </c>
      <c r="J153" s="35">
        <v>800</v>
      </c>
      <c r="K153" s="34"/>
      <c r="L153" s="34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 ht="23.25" x14ac:dyDescent="0.35">
      <c r="A154" s="149"/>
      <c r="B154" s="146"/>
      <c r="C154" s="146"/>
      <c r="D154" s="27"/>
      <c r="E154" s="28"/>
      <c r="F154" s="28"/>
      <c r="G154" s="28"/>
      <c r="H154" s="37"/>
      <c r="I154" s="34" t="s">
        <v>299</v>
      </c>
      <c r="J154" s="35">
        <f>J153*6</f>
        <v>4800</v>
      </c>
      <c r="K154" s="35">
        <f>(J153/8)*(SUM(K146:K152))</f>
        <v>1274.9999999999986</v>
      </c>
      <c r="L154" s="34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3.25" x14ac:dyDescent="0.35">
      <c r="A155" s="150"/>
      <c r="B155" s="147"/>
      <c r="C155" s="147"/>
      <c r="D155" s="38"/>
      <c r="E155" s="39"/>
      <c r="F155" s="39"/>
      <c r="G155" s="39"/>
      <c r="H155" s="40"/>
      <c r="I155" s="41" t="s">
        <v>300</v>
      </c>
      <c r="J155" s="42">
        <f>SUM(J154:K154)</f>
        <v>6074.9999999999982</v>
      </c>
      <c r="K155" s="34"/>
      <c r="L155" s="34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3.25" x14ac:dyDescent="0.35">
      <c r="A156" s="26"/>
      <c r="B156" s="43"/>
      <c r="C156" s="43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46.5" x14ac:dyDescent="0.35">
      <c r="A157" s="79" t="s">
        <v>93</v>
      </c>
      <c r="B157" s="23" t="s">
        <v>94</v>
      </c>
      <c r="C157" s="23" t="s">
        <v>1</v>
      </c>
      <c r="D157" s="24" t="s">
        <v>284</v>
      </c>
      <c r="E157" s="24" t="s">
        <v>285</v>
      </c>
      <c r="F157" s="24" t="s">
        <v>286</v>
      </c>
      <c r="G157" s="24" t="s">
        <v>287</v>
      </c>
      <c r="H157" s="24" t="s">
        <v>286</v>
      </c>
      <c r="I157" s="24" t="s">
        <v>287</v>
      </c>
      <c r="J157" s="24" t="s">
        <v>288</v>
      </c>
      <c r="K157" s="24" t="s">
        <v>234</v>
      </c>
      <c r="L157" s="80" t="s">
        <v>302</v>
      </c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3.25" x14ac:dyDescent="0.35">
      <c r="A158" s="148" t="s">
        <v>345</v>
      </c>
      <c r="B158" s="145" t="s">
        <v>113</v>
      </c>
      <c r="C158" s="145" t="s">
        <v>301</v>
      </c>
      <c r="D158" s="27">
        <v>46086</v>
      </c>
      <c r="E158" s="28" t="s">
        <v>291</v>
      </c>
      <c r="F158" s="29">
        <v>0.29166666666666669</v>
      </c>
      <c r="G158" s="29">
        <v>0.54166666666666663</v>
      </c>
      <c r="H158" s="29">
        <v>0.58333333333333337</v>
      </c>
      <c r="I158" s="29">
        <v>0.875</v>
      </c>
      <c r="J158" s="30">
        <f t="shared" ref="J158:J164" si="39">(((I158-H158)+(G158-F158))*24)</f>
        <v>12.999999999999996</v>
      </c>
      <c r="K158" s="30">
        <f t="shared" ref="K158:K160" si="40">J158-8</f>
        <v>4.9999999999999964</v>
      </c>
      <c r="L158" s="81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3.25" x14ac:dyDescent="0.35">
      <c r="A159" s="149"/>
      <c r="B159" s="146"/>
      <c r="C159" s="146"/>
      <c r="D159" s="27">
        <v>46087</v>
      </c>
      <c r="E159" s="28" t="s">
        <v>292</v>
      </c>
      <c r="F159" s="29">
        <v>0.29166666666666669</v>
      </c>
      <c r="G159" s="29">
        <v>0.54166666666666663</v>
      </c>
      <c r="H159" s="29">
        <v>0.58333333333333337</v>
      </c>
      <c r="I159" s="29">
        <v>0.77083333333333337</v>
      </c>
      <c r="J159" s="30">
        <f t="shared" si="39"/>
        <v>10.499999999999998</v>
      </c>
      <c r="K159" s="30">
        <f t="shared" si="40"/>
        <v>2.4999999999999982</v>
      </c>
      <c r="L159" s="81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3.25" x14ac:dyDescent="0.35">
      <c r="A160" s="149"/>
      <c r="B160" s="146"/>
      <c r="C160" s="146"/>
      <c r="D160" s="27">
        <v>46088</v>
      </c>
      <c r="E160" s="28" t="s">
        <v>293</v>
      </c>
      <c r="F160" s="29">
        <v>0.29166666666666669</v>
      </c>
      <c r="G160" s="29">
        <v>0.54166666666666663</v>
      </c>
      <c r="H160" s="29">
        <v>0.58333333333333337</v>
      </c>
      <c r="I160" s="29">
        <v>0.77083333333333337</v>
      </c>
      <c r="J160" s="30">
        <f t="shared" si="39"/>
        <v>10.499999999999998</v>
      </c>
      <c r="K160" s="30">
        <f t="shared" si="40"/>
        <v>2.4999999999999982</v>
      </c>
      <c r="L160" s="81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3.25" x14ac:dyDescent="0.35">
      <c r="A161" s="149"/>
      <c r="B161" s="146"/>
      <c r="C161" s="146"/>
      <c r="D161" s="27">
        <v>46089</v>
      </c>
      <c r="E161" s="28" t="s">
        <v>294</v>
      </c>
      <c r="F161" s="29"/>
      <c r="G161" s="29"/>
      <c r="H161" s="29"/>
      <c r="I161" s="29"/>
      <c r="J161" s="30">
        <f t="shared" si="39"/>
        <v>0</v>
      </c>
      <c r="K161" s="28"/>
      <c r="L161" s="81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3.25" x14ac:dyDescent="0.35">
      <c r="A162" s="149"/>
      <c r="B162" s="146"/>
      <c r="C162" s="146"/>
      <c r="D162" s="27">
        <v>46090</v>
      </c>
      <c r="E162" s="28" t="s">
        <v>295</v>
      </c>
      <c r="F162" s="29">
        <v>0.30902777777777779</v>
      </c>
      <c r="G162" s="29">
        <v>0.54166666666666663</v>
      </c>
      <c r="H162" s="29">
        <v>0.58333333333333337</v>
      </c>
      <c r="I162" s="131">
        <v>0.72916666666666663</v>
      </c>
      <c r="J162" s="30">
        <f t="shared" si="39"/>
        <v>9.0833333333333304</v>
      </c>
      <c r="K162" s="30">
        <f t="shared" ref="K162:K164" si="41">J162-8</f>
        <v>1.0833333333333304</v>
      </c>
      <c r="L162" s="81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3.25" x14ac:dyDescent="0.35">
      <c r="A163" s="149"/>
      <c r="B163" s="146"/>
      <c r="C163" s="146"/>
      <c r="D163" s="27">
        <v>46091</v>
      </c>
      <c r="E163" s="28" t="s">
        <v>296</v>
      </c>
      <c r="F163" s="29">
        <v>0.3298611111111111</v>
      </c>
      <c r="G163" s="29">
        <v>0.54166666666666663</v>
      </c>
      <c r="H163" s="29">
        <v>0.58333333333333337</v>
      </c>
      <c r="I163" s="29">
        <v>0.75</v>
      </c>
      <c r="J163" s="30">
        <f t="shared" si="39"/>
        <v>9.0833333333333321</v>
      </c>
      <c r="K163" s="30">
        <f t="shared" si="41"/>
        <v>1.0833333333333321</v>
      </c>
      <c r="L163" s="81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3.25" x14ac:dyDescent="0.35">
      <c r="A164" s="149"/>
      <c r="B164" s="146"/>
      <c r="C164" s="146"/>
      <c r="D164" s="27">
        <v>46092</v>
      </c>
      <c r="E164" s="28" t="s">
        <v>297</v>
      </c>
      <c r="F164" s="29">
        <v>0.31944444444444442</v>
      </c>
      <c r="G164" s="29">
        <v>0.54166666666666663</v>
      </c>
      <c r="H164" s="29">
        <v>0.58333333333333337</v>
      </c>
      <c r="I164" s="29">
        <v>0.75</v>
      </c>
      <c r="J164" s="30">
        <f t="shared" si="39"/>
        <v>9.3333333333333321</v>
      </c>
      <c r="K164" s="32">
        <f t="shared" si="41"/>
        <v>1.3333333333333321</v>
      </c>
      <c r="L164" s="82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3.25" x14ac:dyDescent="0.35">
      <c r="A165" s="149"/>
      <c r="B165" s="146"/>
      <c r="C165" s="146"/>
      <c r="D165" s="27"/>
      <c r="E165" s="28"/>
      <c r="F165" s="28"/>
      <c r="G165" s="28"/>
      <c r="H165" s="26"/>
      <c r="I165" s="34" t="s">
        <v>298</v>
      </c>
      <c r="J165" s="35">
        <v>800</v>
      </c>
      <c r="K165" s="34"/>
      <c r="L165" s="34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3.25" x14ac:dyDescent="0.35">
      <c r="A166" s="149"/>
      <c r="B166" s="146"/>
      <c r="C166" s="146"/>
      <c r="D166" s="27"/>
      <c r="E166" s="28"/>
      <c r="F166" s="28"/>
      <c r="G166" s="28"/>
      <c r="H166" s="37"/>
      <c r="I166" s="34" t="s">
        <v>299</v>
      </c>
      <c r="J166" s="35">
        <f>J165*6</f>
        <v>4800</v>
      </c>
      <c r="K166" s="35">
        <f>(J165/8)*(SUM(K158:K164))</f>
        <v>1349.9999999999989</v>
      </c>
      <c r="L166" s="34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3.25" x14ac:dyDescent="0.35">
      <c r="A167" s="150"/>
      <c r="B167" s="147"/>
      <c r="C167" s="147"/>
      <c r="D167" s="38"/>
      <c r="E167" s="39"/>
      <c r="F167" s="39"/>
      <c r="G167" s="39"/>
      <c r="H167" s="40"/>
      <c r="I167" s="41" t="s">
        <v>300</v>
      </c>
      <c r="J167" s="42">
        <f>SUM(J166:K166)</f>
        <v>6149.9999999999991</v>
      </c>
      <c r="K167" s="34"/>
      <c r="L167" s="34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3.25" x14ac:dyDescent="0.35">
      <c r="A168" s="26"/>
      <c r="B168" s="43"/>
      <c r="C168" s="43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46.5" x14ac:dyDescent="0.35">
      <c r="A169" s="79" t="s">
        <v>93</v>
      </c>
      <c r="B169" s="23" t="s">
        <v>94</v>
      </c>
      <c r="C169" s="23" t="s">
        <v>1</v>
      </c>
      <c r="D169" s="24" t="s">
        <v>284</v>
      </c>
      <c r="E169" s="24" t="s">
        <v>285</v>
      </c>
      <c r="F169" s="24" t="s">
        <v>286</v>
      </c>
      <c r="G169" s="24" t="s">
        <v>287</v>
      </c>
      <c r="H169" s="24" t="s">
        <v>286</v>
      </c>
      <c r="I169" s="24" t="s">
        <v>287</v>
      </c>
      <c r="J169" s="24" t="s">
        <v>288</v>
      </c>
      <c r="K169" s="24" t="s">
        <v>234</v>
      </c>
      <c r="L169" s="80" t="s">
        <v>302</v>
      </c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3.25" x14ac:dyDescent="0.35">
      <c r="A170" s="148" t="s">
        <v>40</v>
      </c>
      <c r="B170" s="145" t="s">
        <v>41</v>
      </c>
      <c r="C170" s="145" t="s">
        <v>301</v>
      </c>
      <c r="D170" s="27">
        <v>46086</v>
      </c>
      <c r="E170" s="28" t="s">
        <v>291</v>
      </c>
      <c r="F170" s="29">
        <v>0.29166666666666669</v>
      </c>
      <c r="G170" s="29">
        <v>0.54166666666666663</v>
      </c>
      <c r="H170" s="29">
        <v>0.58333333333333337</v>
      </c>
      <c r="I170" s="29">
        <v>0.875</v>
      </c>
      <c r="J170" s="30">
        <f t="shared" ref="J170:J176" si="42">(((I170-H170)+(G170-F170))*24)</f>
        <v>12.999999999999996</v>
      </c>
      <c r="K170" s="30">
        <f t="shared" ref="K170:K172" si="43">J170-8</f>
        <v>4.9999999999999964</v>
      </c>
      <c r="L170" s="81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3.25" x14ac:dyDescent="0.35">
      <c r="A171" s="149"/>
      <c r="B171" s="146"/>
      <c r="C171" s="146"/>
      <c r="D171" s="27">
        <v>46087</v>
      </c>
      <c r="E171" s="28" t="s">
        <v>292</v>
      </c>
      <c r="F171" s="29">
        <v>0.29166666666666669</v>
      </c>
      <c r="G171" s="29">
        <v>0.54166666666666663</v>
      </c>
      <c r="H171" s="29">
        <v>0.58333333333333337</v>
      </c>
      <c r="I171" s="29">
        <v>0.77083333333333337</v>
      </c>
      <c r="J171" s="30">
        <f t="shared" si="42"/>
        <v>10.499999999999998</v>
      </c>
      <c r="K171" s="30">
        <f t="shared" si="43"/>
        <v>2.4999999999999982</v>
      </c>
      <c r="L171" s="81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3.25" x14ac:dyDescent="0.35">
      <c r="A172" s="149"/>
      <c r="B172" s="146"/>
      <c r="C172" s="146"/>
      <c r="D172" s="27">
        <v>46088</v>
      </c>
      <c r="E172" s="28" t="s">
        <v>293</v>
      </c>
      <c r="F172" s="29">
        <v>0.29166666666666669</v>
      </c>
      <c r="G172" s="29">
        <v>0.54166666666666663</v>
      </c>
      <c r="H172" s="29">
        <v>0.58333333333333337</v>
      </c>
      <c r="I172" s="29">
        <v>0.79166666666666663</v>
      </c>
      <c r="J172" s="30">
        <f t="shared" si="42"/>
        <v>10.999999999999996</v>
      </c>
      <c r="K172" s="30">
        <f t="shared" si="43"/>
        <v>2.9999999999999964</v>
      </c>
      <c r="L172" s="81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3.25" x14ac:dyDescent="0.35">
      <c r="A173" s="149"/>
      <c r="B173" s="146"/>
      <c r="C173" s="146"/>
      <c r="D173" s="27">
        <v>46089</v>
      </c>
      <c r="E173" s="28" t="s">
        <v>294</v>
      </c>
      <c r="F173" s="29"/>
      <c r="G173" s="29"/>
      <c r="H173" s="29"/>
      <c r="I173" s="29"/>
      <c r="J173" s="30">
        <f t="shared" si="42"/>
        <v>0</v>
      </c>
      <c r="K173" s="28"/>
      <c r="L173" s="81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3.25" x14ac:dyDescent="0.35">
      <c r="A174" s="149"/>
      <c r="B174" s="146"/>
      <c r="C174" s="146"/>
      <c r="D174" s="27">
        <v>46090</v>
      </c>
      <c r="E174" s="28" t="s">
        <v>295</v>
      </c>
      <c r="F174" s="29">
        <v>0.30902777777777779</v>
      </c>
      <c r="G174" s="29"/>
      <c r="H174" s="29"/>
      <c r="I174" s="131">
        <v>0.86458333333333337</v>
      </c>
      <c r="J174" s="30">
        <f t="shared" si="42"/>
        <v>13.333333333333334</v>
      </c>
      <c r="K174" s="30">
        <f t="shared" ref="K174:K176" si="44">J174-8</f>
        <v>5.3333333333333339</v>
      </c>
      <c r="L174" s="81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3.25" x14ac:dyDescent="0.35">
      <c r="A175" s="149"/>
      <c r="B175" s="146"/>
      <c r="C175" s="146"/>
      <c r="D175" s="27">
        <v>46091</v>
      </c>
      <c r="E175" s="28" t="s">
        <v>296</v>
      </c>
      <c r="F175" s="29">
        <v>0.3298611111111111</v>
      </c>
      <c r="G175" s="29">
        <v>0.54166666666666663</v>
      </c>
      <c r="H175" s="29">
        <v>0.58333333333333337</v>
      </c>
      <c r="I175" s="29">
        <v>0.75</v>
      </c>
      <c r="J175" s="30">
        <f t="shared" si="42"/>
        <v>9.0833333333333321</v>
      </c>
      <c r="K175" s="30">
        <f t="shared" si="44"/>
        <v>1.0833333333333321</v>
      </c>
      <c r="L175" s="81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3.25" x14ac:dyDescent="0.35">
      <c r="A176" s="149"/>
      <c r="B176" s="146"/>
      <c r="C176" s="146"/>
      <c r="D176" s="27">
        <v>46092</v>
      </c>
      <c r="E176" s="28" t="s">
        <v>297</v>
      </c>
      <c r="F176" s="29">
        <v>0.31944444444444442</v>
      </c>
      <c r="G176" s="29">
        <v>0.54166666666666663</v>
      </c>
      <c r="H176" s="29">
        <v>0.58333333333333337</v>
      </c>
      <c r="I176" s="29">
        <v>0.75</v>
      </c>
      <c r="J176" s="30">
        <f t="shared" si="42"/>
        <v>9.3333333333333321</v>
      </c>
      <c r="K176" s="32">
        <f t="shared" si="44"/>
        <v>1.3333333333333321</v>
      </c>
      <c r="L176" s="82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3.25" x14ac:dyDescent="0.35">
      <c r="A177" s="149"/>
      <c r="B177" s="146"/>
      <c r="C177" s="146"/>
      <c r="D177" s="27"/>
      <c r="E177" s="28"/>
      <c r="F177" s="28"/>
      <c r="G177" s="28"/>
      <c r="H177" s="26"/>
      <c r="I177" s="34" t="s">
        <v>298</v>
      </c>
      <c r="J177" s="35">
        <v>800</v>
      </c>
      <c r="K177" s="34"/>
      <c r="L177" s="34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3.25" x14ac:dyDescent="0.35">
      <c r="A178" s="149"/>
      <c r="B178" s="146"/>
      <c r="C178" s="146"/>
      <c r="D178" s="27"/>
      <c r="E178" s="28"/>
      <c r="F178" s="28"/>
      <c r="G178" s="28"/>
      <c r="H178" s="37"/>
      <c r="I178" s="34" t="s">
        <v>299</v>
      </c>
      <c r="J178" s="35">
        <f>J177*6</f>
        <v>4800</v>
      </c>
      <c r="K178" s="35">
        <f>(J177/8)*(SUM(K170:K176))</f>
        <v>1824.9999999999989</v>
      </c>
      <c r="L178" s="34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3.25" x14ac:dyDescent="0.35">
      <c r="A179" s="150"/>
      <c r="B179" s="147"/>
      <c r="C179" s="147"/>
      <c r="D179" s="38"/>
      <c r="E179" s="39"/>
      <c r="F179" s="39"/>
      <c r="G179" s="39"/>
      <c r="H179" s="40"/>
      <c r="I179" s="41" t="s">
        <v>300</v>
      </c>
      <c r="J179" s="42">
        <f>SUM(J178:K178)</f>
        <v>6624.9999999999991</v>
      </c>
      <c r="K179" s="34"/>
      <c r="L179" s="34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3.25" x14ac:dyDescent="0.35">
      <c r="A180" s="26"/>
      <c r="B180" s="43"/>
      <c r="C180" s="43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46.5" x14ac:dyDescent="0.35">
      <c r="A181" s="79" t="s">
        <v>93</v>
      </c>
      <c r="B181" s="23" t="s">
        <v>94</v>
      </c>
      <c r="C181" s="23" t="s">
        <v>1</v>
      </c>
      <c r="D181" s="24" t="s">
        <v>284</v>
      </c>
      <c r="E181" s="24" t="s">
        <v>285</v>
      </c>
      <c r="F181" s="24" t="s">
        <v>286</v>
      </c>
      <c r="G181" s="24" t="s">
        <v>287</v>
      </c>
      <c r="H181" s="24" t="s">
        <v>286</v>
      </c>
      <c r="I181" s="24" t="s">
        <v>287</v>
      </c>
      <c r="J181" s="24" t="s">
        <v>288</v>
      </c>
      <c r="K181" s="24" t="s">
        <v>234</v>
      </c>
      <c r="L181" s="80" t="s">
        <v>302</v>
      </c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3.25" x14ac:dyDescent="0.35">
      <c r="A182" s="148" t="s">
        <v>31</v>
      </c>
      <c r="B182" s="145" t="s">
        <v>32</v>
      </c>
      <c r="C182" s="145" t="s">
        <v>16</v>
      </c>
      <c r="D182" s="27">
        <v>46086</v>
      </c>
      <c r="E182" s="28" t="s">
        <v>291</v>
      </c>
      <c r="F182" s="29">
        <v>0.29166666666666669</v>
      </c>
      <c r="G182" s="29">
        <v>0.54166666666666663</v>
      </c>
      <c r="H182" s="29">
        <v>0.58333333333333337</v>
      </c>
      <c r="I182" s="29">
        <v>0.875</v>
      </c>
      <c r="J182" s="30">
        <f t="shared" ref="J182:J188" si="45">(((I182-H182)+(G182-F182))*24)</f>
        <v>12.999999999999996</v>
      </c>
      <c r="K182" s="30">
        <f t="shared" ref="K182:K184" si="46">J182-8</f>
        <v>4.9999999999999964</v>
      </c>
      <c r="L182" s="81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3.25" x14ac:dyDescent="0.35">
      <c r="A183" s="149"/>
      <c r="B183" s="146"/>
      <c r="C183" s="146"/>
      <c r="D183" s="27">
        <v>46087</v>
      </c>
      <c r="E183" s="28" t="s">
        <v>292</v>
      </c>
      <c r="F183" s="29">
        <v>0.29166666666666669</v>
      </c>
      <c r="G183" s="29">
        <v>0.54166666666666663</v>
      </c>
      <c r="H183" s="29">
        <v>0.58333333333333337</v>
      </c>
      <c r="I183" s="29">
        <v>0.77083333333333337</v>
      </c>
      <c r="J183" s="30">
        <f t="shared" si="45"/>
        <v>10.499999999999998</v>
      </c>
      <c r="K183" s="30">
        <f t="shared" si="46"/>
        <v>2.4999999999999982</v>
      </c>
      <c r="L183" s="81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3.25" x14ac:dyDescent="0.35">
      <c r="A184" s="149"/>
      <c r="B184" s="146"/>
      <c r="C184" s="146"/>
      <c r="D184" s="27">
        <v>46088</v>
      </c>
      <c r="E184" s="28" t="s">
        <v>293</v>
      </c>
      <c r="F184" s="29">
        <v>0.29166666666666669</v>
      </c>
      <c r="G184" s="29">
        <v>0.54166666666666663</v>
      </c>
      <c r="H184" s="29">
        <v>0.58333333333333337</v>
      </c>
      <c r="I184" s="29">
        <v>0.79166666666666663</v>
      </c>
      <c r="J184" s="30">
        <f t="shared" si="45"/>
        <v>10.999999999999996</v>
      </c>
      <c r="K184" s="30">
        <f t="shared" si="46"/>
        <v>2.9999999999999964</v>
      </c>
      <c r="L184" s="81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3.25" x14ac:dyDescent="0.35">
      <c r="A185" s="149"/>
      <c r="B185" s="146"/>
      <c r="C185" s="146"/>
      <c r="D185" s="27">
        <v>46089</v>
      </c>
      <c r="E185" s="28" t="s">
        <v>294</v>
      </c>
      <c r="F185" s="29"/>
      <c r="G185" s="29"/>
      <c r="H185" s="29"/>
      <c r="I185" s="29"/>
      <c r="J185" s="30">
        <f t="shared" si="45"/>
        <v>0</v>
      </c>
      <c r="K185" s="28"/>
      <c r="L185" s="81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3.25" x14ac:dyDescent="0.35">
      <c r="A186" s="149"/>
      <c r="B186" s="146"/>
      <c r="C186" s="146"/>
      <c r="D186" s="27">
        <v>46090</v>
      </c>
      <c r="E186" s="28" t="s">
        <v>295</v>
      </c>
      <c r="F186" s="29">
        <v>0.30902777777777779</v>
      </c>
      <c r="G186" s="29"/>
      <c r="H186" s="29"/>
      <c r="I186" s="131">
        <v>0.86458333333333337</v>
      </c>
      <c r="J186" s="30">
        <f t="shared" si="45"/>
        <v>13.333333333333334</v>
      </c>
      <c r="K186" s="30">
        <f t="shared" ref="K186:K188" si="47">J186-8</f>
        <v>5.3333333333333339</v>
      </c>
      <c r="L186" s="81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3.25" x14ac:dyDescent="0.35">
      <c r="A187" s="149"/>
      <c r="B187" s="146"/>
      <c r="C187" s="146"/>
      <c r="D187" s="27">
        <v>46091</v>
      </c>
      <c r="E187" s="28" t="s">
        <v>296</v>
      </c>
      <c r="F187" s="29">
        <v>0.33333333333333331</v>
      </c>
      <c r="G187" s="29">
        <v>0.54166666666666663</v>
      </c>
      <c r="H187" s="29">
        <v>0.58333333333333337</v>
      </c>
      <c r="I187" s="29">
        <v>0.75</v>
      </c>
      <c r="J187" s="30">
        <f t="shared" si="45"/>
        <v>8.9999999999999982</v>
      </c>
      <c r="K187" s="30">
        <f t="shared" si="47"/>
        <v>0.99999999999999822</v>
      </c>
      <c r="L187" s="81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3.25" x14ac:dyDescent="0.35">
      <c r="A188" s="149"/>
      <c r="B188" s="146"/>
      <c r="C188" s="146"/>
      <c r="D188" s="27">
        <v>46092</v>
      </c>
      <c r="E188" s="28" t="s">
        <v>297</v>
      </c>
      <c r="F188" s="29">
        <v>0.3263888888888889</v>
      </c>
      <c r="G188" s="29">
        <v>0.54166666666666663</v>
      </c>
      <c r="H188" s="29">
        <v>0.58333333333333337</v>
      </c>
      <c r="I188" s="29">
        <v>0.75</v>
      </c>
      <c r="J188" s="30">
        <f t="shared" si="45"/>
        <v>9.1666666666666643</v>
      </c>
      <c r="K188" s="32">
        <f t="shared" si="47"/>
        <v>1.1666666666666643</v>
      </c>
      <c r="L188" s="82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3.25" x14ac:dyDescent="0.35">
      <c r="A189" s="149"/>
      <c r="B189" s="146"/>
      <c r="C189" s="146"/>
      <c r="D189" s="27"/>
      <c r="E189" s="28"/>
      <c r="F189" s="28"/>
      <c r="G189" s="28"/>
      <c r="H189" s="26"/>
      <c r="I189" s="34" t="s">
        <v>298</v>
      </c>
      <c r="J189" s="35">
        <v>1100</v>
      </c>
      <c r="K189" s="34"/>
      <c r="L189" s="34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3.25" x14ac:dyDescent="0.35">
      <c r="A190" s="149"/>
      <c r="B190" s="146"/>
      <c r="C190" s="146"/>
      <c r="D190" s="27"/>
      <c r="E190" s="28"/>
      <c r="F190" s="28"/>
      <c r="G190" s="28"/>
      <c r="H190" s="37"/>
      <c r="I190" s="34" t="s">
        <v>299</v>
      </c>
      <c r="J190" s="35">
        <f>J189*6</f>
        <v>6600</v>
      </c>
      <c r="K190" s="35">
        <f>(J189/8)*(SUM(K182:K188))</f>
        <v>2474.9999999999982</v>
      </c>
      <c r="L190" s="34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3.25" x14ac:dyDescent="0.35">
      <c r="A191" s="150"/>
      <c r="B191" s="147"/>
      <c r="C191" s="147"/>
      <c r="D191" s="38"/>
      <c r="E191" s="39"/>
      <c r="F191" s="39"/>
      <c r="G191" s="39"/>
      <c r="H191" s="40"/>
      <c r="I191" s="41" t="s">
        <v>300</v>
      </c>
      <c r="J191" s="42">
        <f>SUM(J190:K190)</f>
        <v>9074.9999999999982</v>
      </c>
      <c r="K191" s="34"/>
      <c r="L191" s="34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3.25" x14ac:dyDescent="0.35">
      <c r="A192" s="26"/>
      <c r="B192" s="43"/>
      <c r="C192" s="43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46.5" x14ac:dyDescent="0.35">
      <c r="A193" s="79" t="s">
        <v>93</v>
      </c>
      <c r="B193" s="23" t="s">
        <v>94</v>
      </c>
      <c r="C193" s="23" t="s">
        <v>1</v>
      </c>
      <c r="D193" s="24" t="s">
        <v>284</v>
      </c>
      <c r="E193" s="24" t="s">
        <v>285</v>
      </c>
      <c r="F193" s="24" t="s">
        <v>286</v>
      </c>
      <c r="G193" s="24" t="s">
        <v>287</v>
      </c>
      <c r="H193" s="24" t="s">
        <v>286</v>
      </c>
      <c r="I193" s="24" t="s">
        <v>287</v>
      </c>
      <c r="J193" s="24" t="s">
        <v>288</v>
      </c>
      <c r="K193" s="24" t="s">
        <v>234</v>
      </c>
      <c r="L193" s="80" t="s">
        <v>302</v>
      </c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3.25" x14ac:dyDescent="0.35">
      <c r="A194" s="148" t="s">
        <v>33</v>
      </c>
      <c r="B194" s="145" t="s">
        <v>34</v>
      </c>
      <c r="C194" s="145" t="s">
        <v>16</v>
      </c>
      <c r="D194" s="27">
        <v>46086</v>
      </c>
      <c r="E194" s="28" t="s">
        <v>291</v>
      </c>
      <c r="F194" s="29">
        <v>0.29166666666666669</v>
      </c>
      <c r="G194" s="29">
        <v>0.54166666666666663</v>
      </c>
      <c r="H194" s="29">
        <v>0.58333333333333337</v>
      </c>
      <c r="I194" s="29">
        <v>0.875</v>
      </c>
      <c r="J194" s="30">
        <f t="shared" ref="J194:J200" si="48">(((I194-H194)+(G194-F194))*24)</f>
        <v>12.999999999999996</v>
      </c>
      <c r="K194" s="30">
        <f t="shared" ref="K194:K196" si="49">J194-8</f>
        <v>4.9999999999999964</v>
      </c>
      <c r="L194" s="81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3.25" x14ac:dyDescent="0.35">
      <c r="A195" s="149"/>
      <c r="B195" s="146"/>
      <c r="C195" s="146"/>
      <c r="D195" s="27">
        <v>46087</v>
      </c>
      <c r="E195" s="28" t="s">
        <v>292</v>
      </c>
      <c r="F195" s="29">
        <v>0.29166666666666669</v>
      </c>
      <c r="G195" s="29">
        <v>0.54166666666666663</v>
      </c>
      <c r="H195" s="29">
        <v>0.58333333333333337</v>
      </c>
      <c r="I195" s="29">
        <v>0.75</v>
      </c>
      <c r="J195" s="30">
        <f t="shared" si="48"/>
        <v>9.9999999999999982</v>
      </c>
      <c r="K195" s="30">
        <f t="shared" si="49"/>
        <v>1.9999999999999982</v>
      </c>
      <c r="L195" s="81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3.25" x14ac:dyDescent="0.35">
      <c r="A196" s="149"/>
      <c r="B196" s="146"/>
      <c r="C196" s="146"/>
      <c r="D196" s="27">
        <v>46088</v>
      </c>
      <c r="E196" s="28" t="s">
        <v>293</v>
      </c>
      <c r="F196" s="29">
        <v>0.29166666666666669</v>
      </c>
      <c r="G196" s="29">
        <v>0.54166666666666663</v>
      </c>
      <c r="H196" s="29">
        <v>0.58333333333333337</v>
      </c>
      <c r="I196" s="29">
        <v>0.76041666666666663</v>
      </c>
      <c r="J196" s="30">
        <f t="shared" si="48"/>
        <v>10.249999999999996</v>
      </c>
      <c r="K196" s="30">
        <f t="shared" si="49"/>
        <v>2.2499999999999964</v>
      </c>
      <c r="L196" s="81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3.25" x14ac:dyDescent="0.35">
      <c r="A197" s="149"/>
      <c r="B197" s="146"/>
      <c r="C197" s="146"/>
      <c r="D197" s="27">
        <v>46089</v>
      </c>
      <c r="E197" s="28" t="s">
        <v>294</v>
      </c>
      <c r="F197" s="29"/>
      <c r="G197" s="29"/>
      <c r="H197" s="29"/>
      <c r="I197" s="29"/>
      <c r="J197" s="30">
        <f t="shared" si="48"/>
        <v>0</v>
      </c>
      <c r="K197" s="28"/>
      <c r="L197" s="81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3.25" x14ac:dyDescent="0.35">
      <c r="A198" s="149"/>
      <c r="B198" s="146"/>
      <c r="C198" s="146"/>
      <c r="D198" s="27">
        <v>46090</v>
      </c>
      <c r="E198" s="28" t="s">
        <v>295</v>
      </c>
      <c r="F198" s="29">
        <v>0.30902777777777779</v>
      </c>
      <c r="G198" s="29">
        <v>0.54166666666666663</v>
      </c>
      <c r="H198" s="29">
        <v>0.58333333333333337</v>
      </c>
      <c r="I198" s="131">
        <v>0.72916666666666663</v>
      </c>
      <c r="J198" s="30">
        <f t="shared" si="48"/>
        <v>9.0833333333333304</v>
      </c>
      <c r="K198" s="30">
        <f t="shared" ref="K198:K200" si="50">J198-8</f>
        <v>1.0833333333333304</v>
      </c>
      <c r="L198" s="81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3.25" x14ac:dyDescent="0.35">
      <c r="A199" s="149"/>
      <c r="B199" s="146"/>
      <c r="C199" s="146"/>
      <c r="D199" s="27">
        <v>46091</v>
      </c>
      <c r="E199" s="28" t="s">
        <v>296</v>
      </c>
      <c r="F199" s="29">
        <v>0.3298611111111111</v>
      </c>
      <c r="G199" s="29">
        <v>0.54166666666666663</v>
      </c>
      <c r="H199" s="29">
        <v>0.58333333333333337</v>
      </c>
      <c r="I199" s="29">
        <v>0.76041666666666663</v>
      </c>
      <c r="J199" s="30">
        <f t="shared" si="48"/>
        <v>9.3333333333333304</v>
      </c>
      <c r="K199" s="30">
        <f t="shared" si="50"/>
        <v>1.3333333333333304</v>
      </c>
      <c r="L199" s="81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3.25" x14ac:dyDescent="0.35">
      <c r="A200" s="149"/>
      <c r="B200" s="146"/>
      <c r="C200" s="146"/>
      <c r="D200" s="27">
        <v>46092</v>
      </c>
      <c r="E200" s="28" t="s">
        <v>297</v>
      </c>
      <c r="F200" s="29">
        <v>0.31944444444444442</v>
      </c>
      <c r="G200" s="29">
        <v>0.54166666666666663</v>
      </c>
      <c r="H200" s="29">
        <v>0.58333333333333337</v>
      </c>
      <c r="I200" s="29">
        <v>0.75</v>
      </c>
      <c r="J200" s="30">
        <f t="shared" si="48"/>
        <v>9.3333333333333321</v>
      </c>
      <c r="K200" s="32">
        <f t="shared" si="50"/>
        <v>1.3333333333333321</v>
      </c>
      <c r="L200" s="82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3.25" x14ac:dyDescent="0.35">
      <c r="A201" s="149"/>
      <c r="B201" s="146"/>
      <c r="C201" s="146"/>
      <c r="D201" s="27"/>
      <c r="E201" s="28"/>
      <c r="F201" s="28"/>
      <c r="G201" s="28"/>
      <c r="H201" s="26"/>
      <c r="I201" s="34" t="s">
        <v>298</v>
      </c>
      <c r="J201" s="35">
        <v>1100</v>
      </c>
      <c r="K201" s="34"/>
      <c r="L201" s="34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3.25" x14ac:dyDescent="0.35">
      <c r="A202" s="149"/>
      <c r="B202" s="146"/>
      <c r="C202" s="146"/>
      <c r="D202" s="27"/>
      <c r="E202" s="28"/>
      <c r="F202" s="28"/>
      <c r="G202" s="28"/>
      <c r="H202" s="37"/>
      <c r="I202" s="34" t="s">
        <v>299</v>
      </c>
      <c r="J202" s="35">
        <f>J201*6</f>
        <v>6600</v>
      </c>
      <c r="K202" s="35">
        <f>(J201/8)*(SUM(K194:K200))</f>
        <v>1787.4999999999977</v>
      </c>
      <c r="L202" s="34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3.25" x14ac:dyDescent="0.35">
      <c r="A203" s="150"/>
      <c r="B203" s="147"/>
      <c r="C203" s="147"/>
      <c r="D203" s="38"/>
      <c r="E203" s="39"/>
      <c r="F203" s="39"/>
      <c r="G203" s="39"/>
      <c r="H203" s="40"/>
      <c r="I203" s="41" t="s">
        <v>300</v>
      </c>
      <c r="J203" s="42">
        <f>SUM(J202:K202)</f>
        <v>8387.4999999999982</v>
      </c>
      <c r="K203" s="34"/>
      <c r="L203" s="34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3.25" x14ac:dyDescent="0.35">
      <c r="A204" s="26"/>
      <c r="B204" s="43"/>
      <c r="C204" s="43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46.5" x14ac:dyDescent="0.35">
      <c r="A205" s="79" t="s">
        <v>93</v>
      </c>
      <c r="B205" s="23" t="s">
        <v>94</v>
      </c>
      <c r="C205" s="23" t="s">
        <v>1</v>
      </c>
      <c r="D205" s="24" t="s">
        <v>284</v>
      </c>
      <c r="E205" s="24" t="s">
        <v>285</v>
      </c>
      <c r="F205" s="24" t="s">
        <v>286</v>
      </c>
      <c r="G205" s="24" t="s">
        <v>287</v>
      </c>
      <c r="H205" s="24" t="s">
        <v>286</v>
      </c>
      <c r="I205" s="24" t="s">
        <v>287</v>
      </c>
      <c r="J205" s="24" t="s">
        <v>288</v>
      </c>
      <c r="K205" s="24" t="s">
        <v>234</v>
      </c>
      <c r="L205" s="80" t="s">
        <v>302</v>
      </c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3.25" x14ac:dyDescent="0.35">
      <c r="A206" s="148" t="s">
        <v>346</v>
      </c>
      <c r="B206" s="145" t="s">
        <v>114</v>
      </c>
      <c r="C206" s="145" t="s">
        <v>301</v>
      </c>
      <c r="D206" s="27">
        <v>46086</v>
      </c>
      <c r="E206" s="28" t="s">
        <v>291</v>
      </c>
      <c r="F206" s="29">
        <v>0.29166666666666669</v>
      </c>
      <c r="G206" s="29">
        <v>0.54166666666666663</v>
      </c>
      <c r="H206" s="29">
        <v>0.58333333333333337</v>
      </c>
      <c r="I206" s="29">
        <v>0.875</v>
      </c>
      <c r="J206" s="30">
        <f t="shared" ref="J206:J212" si="51">(((I206-H206)+(G206-F206))*24)</f>
        <v>12.999999999999996</v>
      </c>
      <c r="K206" s="30">
        <f t="shared" ref="K206:K208" si="52">J206-8</f>
        <v>4.9999999999999964</v>
      </c>
      <c r="L206" s="81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3.25" x14ac:dyDescent="0.35">
      <c r="A207" s="149"/>
      <c r="B207" s="146"/>
      <c r="C207" s="146"/>
      <c r="D207" s="27">
        <v>46087</v>
      </c>
      <c r="E207" s="28" t="s">
        <v>292</v>
      </c>
      <c r="F207" s="29">
        <v>0.29166666666666669</v>
      </c>
      <c r="G207" s="29">
        <v>0.54166666666666663</v>
      </c>
      <c r="H207" s="29">
        <v>0.58333333333333337</v>
      </c>
      <c r="I207" s="29">
        <v>0.77083333333333337</v>
      </c>
      <c r="J207" s="30">
        <f t="shared" si="51"/>
        <v>10.499999999999998</v>
      </c>
      <c r="K207" s="30">
        <f t="shared" si="52"/>
        <v>2.4999999999999982</v>
      </c>
      <c r="L207" s="81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3.25" x14ac:dyDescent="0.35">
      <c r="A208" s="149"/>
      <c r="B208" s="146"/>
      <c r="C208" s="146"/>
      <c r="D208" s="27">
        <v>46088</v>
      </c>
      <c r="E208" s="28" t="s">
        <v>293</v>
      </c>
      <c r="F208" s="29">
        <v>0.29166666666666669</v>
      </c>
      <c r="G208" s="29">
        <v>0.54166666666666663</v>
      </c>
      <c r="H208" s="29">
        <v>0.58333333333333337</v>
      </c>
      <c r="I208" s="29">
        <v>0.79166666666666663</v>
      </c>
      <c r="J208" s="30">
        <f t="shared" si="51"/>
        <v>10.999999999999996</v>
      </c>
      <c r="K208" s="30">
        <f t="shared" si="52"/>
        <v>2.9999999999999964</v>
      </c>
      <c r="L208" s="81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3.25" x14ac:dyDescent="0.35">
      <c r="A209" s="149"/>
      <c r="B209" s="146"/>
      <c r="C209" s="146"/>
      <c r="D209" s="27">
        <v>46089</v>
      </c>
      <c r="E209" s="28" t="s">
        <v>294</v>
      </c>
      <c r="F209" s="29"/>
      <c r="G209" s="29"/>
      <c r="H209" s="29"/>
      <c r="I209" s="29"/>
      <c r="J209" s="30">
        <f t="shared" si="51"/>
        <v>0</v>
      </c>
      <c r="K209" s="28"/>
      <c r="L209" s="81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3.25" x14ac:dyDescent="0.35">
      <c r="A210" s="149"/>
      <c r="B210" s="146"/>
      <c r="C210" s="146"/>
      <c r="D210" s="27">
        <v>46090</v>
      </c>
      <c r="E210" s="28" t="s">
        <v>295</v>
      </c>
      <c r="F210" s="29">
        <v>0.30902777777777779</v>
      </c>
      <c r="G210" s="29"/>
      <c r="H210" s="29"/>
      <c r="I210" s="131">
        <v>0.86458333333333337</v>
      </c>
      <c r="J210" s="30">
        <f t="shared" si="51"/>
        <v>13.333333333333334</v>
      </c>
      <c r="K210" s="30">
        <f t="shared" ref="K210:K212" si="53">J210-8</f>
        <v>5.3333333333333339</v>
      </c>
      <c r="L210" s="81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3.25" x14ac:dyDescent="0.35">
      <c r="A211" s="149"/>
      <c r="B211" s="146"/>
      <c r="C211" s="146"/>
      <c r="D211" s="27">
        <v>46091</v>
      </c>
      <c r="E211" s="28" t="s">
        <v>296</v>
      </c>
      <c r="F211" s="29">
        <v>0.33333333333333331</v>
      </c>
      <c r="G211" s="29">
        <v>0.54166666666666663</v>
      </c>
      <c r="H211" s="29">
        <v>0.58333333333333337</v>
      </c>
      <c r="I211" s="29">
        <v>0.77083333333333337</v>
      </c>
      <c r="J211" s="30">
        <f t="shared" si="51"/>
        <v>9.5</v>
      </c>
      <c r="K211" s="30">
        <f t="shared" si="53"/>
        <v>1.5</v>
      </c>
      <c r="L211" s="81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3.25" x14ac:dyDescent="0.35">
      <c r="A212" s="149"/>
      <c r="B212" s="146"/>
      <c r="C212" s="146"/>
      <c r="D212" s="27">
        <v>46092</v>
      </c>
      <c r="E212" s="28" t="s">
        <v>297</v>
      </c>
      <c r="F212" s="29">
        <v>0.3263888888888889</v>
      </c>
      <c r="G212" s="29">
        <v>0.54166666666666663</v>
      </c>
      <c r="H212" s="29">
        <v>0.58333333333333337</v>
      </c>
      <c r="I212" s="29">
        <v>0.75</v>
      </c>
      <c r="J212" s="30">
        <f t="shared" si="51"/>
        <v>9.1666666666666643</v>
      </c>
      <c r="K212" s="32">
        <f t="shared" si="53"/>
        <v>1.1666666666666643</v>
      </c>
      <c r="L212" s="82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 ht="23.25" x14ac:dyDescent="0.35">
      <c r="A213" s="149"/>
      <c r="B213" s="146"/>
      <c r="C213" s="146"/>
      <c r="D213" s="27"/>
      <c r="E213" s="28"/>
      <c r="F213" s="28"/>
      <c r="G213" s="28"/>
      <c r="H213" s="26"/>
      <c r="I213" s="34" t="s">
        <v>298</v>
      </c>
      <c r="J213" s="35">
        <v>800</v>
      </c>
      <c r="K213" s="34"/>
      <c r="L213" s="34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3.25" x14ac:dyDescent="0.35">
      <c r="A214" s="149"/>
      <c r="B214" s="146"/>
      <c r="C214" s="146"/>
      <c r="D214" s="27"/>
      <c r="E214" s="28"/>
      <c r="F214" s="28"/>
      <c r="G214" s="28"/>
      <c r="H214" s="37"/>
      <c r="I214" s="34" t="s">
        <v>299</v>
      </c>
      <c r="J214" s="35">
        <f>J213*6</f>
        <v>4800</v>
      </c>
      <c r="K214" s="35">
        <f>(J213/8)*(SUM(K206:K212))</f>
        <v>1849.9999999999989</v>
      </c>
      <c r="L214" s="34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3.25" x14ac:dyDescent="0.35">
      <c r="A215" s="150"/>
      <c r="B215" s="147"/>
      <c r="C215" s="147"/>
      <c r="D215" s="38"/>
      <c r="E215" s="39"/>
      <c r="F215" s="39"/>
      <c r="G215" s="39"/>
      <c r="H215" s="40"/>
      <c r="I215" s="41" t="s">
        <v>300</v>
      </c>
      <c r="J215" s="42">
        <f>SUM(J214:K214)</f>
        <v>6649.9999999999991</v>
      </c>
      <c r="K215" s="34"/>
      <c r="L215" s="34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3.25" x14ac:dyDescent="0.35">
      <c r="A216" s="26"/>
      <c r="B216" s="43"/>
      <c r="C216" s="43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46.5" x14ac:dyDescent="0.35">
      <c r="A217" s="79" t="s">
        <v>93</v>
      </c>
      <c r="B217" s="23" t="s">
        <v>94</v>
      </c>
      <c r="C217" s="23" t="s">
        <v>1</v>
      </c>
      <c r="D217" s="24" t="s">
        <v>284</v>
      </c>
      <c r="E217" s="24" t="s">
        <v>285</v>
      </c>
      <c r="F217" s="24" t="s">
        <v>286</v>
      </c>
      <c r="G217" s="24" t="s">
        <v>287</v>
      </c>
      <c r="H217" s="24" t="s">
        <v>286</v>
      </c>
      <c r="I217" s="24" t="s">
        <v>287</v>
      </c>
      <c r="J217" s="24" t="s">
        <v>288</v>
      </c>
      <c r="K217" s="24" t="s">
        <v>234</v>
      </c>
      <c r="L217" s="80" t="s">
        <v>302</v>
      </c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3.25" x14ac:dyDescent="0.35">
      <c r="A218" s="148" t="s">
        <v>348</v>
      </c>
      <c r="B218" s="145" t="s">
        <v>115</v>
      </c>
      <c r="C218" s="145" t="s">
        <v>301</v>
      </c>
      <c r="D218" s="27">
        <v>46086</v>
      </c>
      <c r="E218" s="28" t="s">
        <v>291</v>
      </c>
      <c r="F218" s="29">
        <v>0.29166666666666669</v>
      </c>
      <c r="G218" s="29">
        <v>0.54166666666666663</v>
      </c>
      <c r="H218" s="29">
        <v>0.58333333333333337</v>
      </c>
      <c r="I218" s="29">
        <v>0.875</v>
      </c>
      <c r="J218" s="30">
        <f t="shared" ref="J218:J224" si="54">(((I218-H218)+(G218-F218))*24)</f>
        <v>12.999999999999996</v>
      </c>
      <c r="K218" s="30">
        <f t="shared" ref="K218:K220" si="55">J218-8</f>
        <v>4.9999999999999964</v>
      </c>
      <c r="L218" s="81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3.25" x14ac:dyDescent="0.35">
      <c r="A219" s="149"/>
      <c r="B219" s="146"/>
      <c r="C219" s="146"/>
      <c r="D219" s="27">
        <v>46087</v>
      </c>
      <c r="E219" s="28" t="s">
        <v>292</v>
      </c>
      <c r="F219" s="29">
        <v>0.29166666666666669</v>
      </c>
      <c r="G219" s="29">
        <v>0.54166666666666663</v>
      </c>
      <c r="H219" s="29">
        <v>0.58333333333333337</v>
      </c>
      <c r="I219" s="29">
        <v>0.75</v>
      </c>
      <c r="J219" s="30">
        <f t="shared" si="54"/>
        <v>9.9999999999999982</v>
      </c>
      <c r="K219" s="30">
        <f t="shared" si="55"/>
        <v>1.9999999999999982</v>
      </c>
      <c r="L219" s="81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3.25" x14ac:dyDescent="0.35">
      <c r="A220" s="149"/>
      <c r="B220" s="146"/>
      <c r="C220" s="146"/>
      <c r="D220" s="27">
        <v>46088</v>
      </c>
      <c r="E220" s="28" t="s">
        <v>293</v>
      </c>
      <c r="F220" s="29">
        <v>0.29166666666666669</v>
      </c>
      <c r="G220" s="29">
        <v>0.54166666666666663</v>
      </c>
      <c r="H220" s="29">
        <v>0.58333333333333337</v>
      </c>
      <c r="I220" s="29">
        <v>0.77083333333333337</v>
      </c>
      <c r="J220" s="30">
        <f t="shared" si="54"/>
        <v>10.499999999999998</v>
      </c>
      <c r="K220" s="30">
        <f t="shared" si="55"/>
        <v>2.4999999999999982</v>
      </c>
      <c r="L220" s="81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3.25" x14ac:dyDescent="0.35">
      <c r="A221" s="149"/>
      <c r="B221" s="146"/>
      <c r="C221" s="146"/>
      <c r="D221" s="27">
        <v>46089</v>
      </c>
      <c r="E221" s="28" t="s">
        <v>294</v>
      </c>
      <c r="F221" s="29"/>
      <c r="G221" s="29"/>
      <c r="H221" s="29"/>
      <c r="I221" s="29"/>
      <c r="J221" s="30">
        <f t="shared" si="54"/>
        <v>0</v>
      </c>
      <c r="K221" s="28"/>
      <c r="L221" s="81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3.25" x14ac:dyDescent="0.35">
      <c r="A222" s="149"/>
      <c r="B222" s="146"/>
      <c r="C222" s="146"/>
      <c r="D222" s="27">
        <v>46090</v>
      </c>
      <c r="E222" s="28" t="s">
        <v>295</v>
      </c>
      <c r="F222" s="29">
        <v>0.30902777777777779</v>
      </c>
      <c r="G222" s="29"/>
      <c r="H222" s="29"/>
      <c r="I222" s="131">
        <v>0.86458333333333337</v>
      </c>
      <c r="J222" s="30">
        <f t="shared" si="54"/>
        <v>13.333333333333334</v>
      </c>
      <c r="K222" s="30">
        <f t="shared" ref="K222:K224" si="56">J222-8</f>
        <v>5.3333333333333339</v>
      </c>
      <c r="L222" s="81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3.25" x14ac:dyDescent="0.35">
      <c r="A223" s="149"/>
      <c r="B223" s="146"/>
      <c r="C223" s="146"/>
      <c r="D223" s="27">
        <v>46091</v>
      </c>
      <c r="E223" s="28" t="s">
        <v>296</v>
      </c>
      <c r="F223" s="29">
        <v>0.33333333333333331</v>
      </c>
      <c r="G223" s="29">
        <v>0.54166666666666663</v>
      </c>
      <c r="H223" s="29">
        <v>0.58333333333333337</v>
      </c>
      <c r="I223" s="29">
        <v>0.77083333333333337</v>
      </c>
      <c r="J223" s="30">
        <f t="shared" si="54"/>
        <v>9.5</v>
      </c>
      <c r="K223" s="30">
        <f t="shared" si="56"/>
        <v>1.5</v>
      </c>
      <c r="L223" s="81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3.25" x14ac:dyDescent="0.35">
      <c r="A224" s="149"/>
      <c r="B224" s="146"/>
      <c r="C224" s="146"/>
      <c r="D224" s="27">
        <v>46092</v>
      </c>
      <c r="E224" s="28" t="s">
        <v>297</v>
      </c>
      <c r="F224" s="29">
        <v>0.3263888888888889</v>
      </c>
      <c r="G224" s="29">
        <v>0.54166666666666663</v>
      </c>
      <c r="H224" s="29">
        <v>0.58333333333333337</v>
      </c>
      <c r="I224" s="29">
        <v>0.77083333333333337</v>
      </c>
      <c r="J224" s="30">
        <f t="shared" si="54"/>
        <v>9.6666666666666661</v>
      </c>
      <c r="K224" s="32">
        <f t="shared" si="56"/>
        <v>1.6666666666666661</v>
      </c>
      <c r="L224" s="82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3.25" x14ac:dyDescent="0.35">
      <c r="A225" s="149"/>
      <c r="B225" s="146"/>
      <c r="C225" s="146"/>
      <c r="D225" s="27"/>
      <c r="E225" s="28"/>
      <c r="F225" s="28"/>
      <c r="G225" s="28"/>
      <c r="H225" s="26"/>
      <c r="I225" s="34" t="s">
        <v>298</v>
      </c>
      <c r="J225" s="35">
        <v>800</v>
      </c>
      <c r="K225" s="34"/>
      <c r="L225" s="34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3.25" x14ac:dyDescent="0.35">
      <c r="A226" s="149"/>
      <c r="B226" s="146"/>
      <c r="C226" s="146"/>
      <c r="D226" s="27"/>
      <c r="E226" s="28"/>
      <c r="F226" s="28"/>
      <c r="G226" s="28"/>
      <c r="H226" s="37"/>
      <c r="I226" s="34" t="s">
        <v>299</v>
      </c>
      <c r="J226" s="35">
        <f>J225*6</f>
        <v>4800</v>
      </c>
      <c r="K226" s="35">
        <f>(J225/8)*(SUM(K218:K224))</f>
        <v>1799.9999999999993</v>
      </c>
      <c r="L226" s="34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3.25" x14ac:dyDescent="0.35">
      <c r="A227" s="150"/>
      <c r="B227" s="147"/>
      <c r="C227" s="147"/>
      <c r="D227" s="38"/>
      <c r="E227" s="39"/>
      <c r="F227" s="39"/>
      <c r="G227" s="39"/>
      <c r="H227" s="40"/>
      <c r="I227" s="41" t="s">
        <v>300</v>
      </c>
      <c r="J227" s="42">
        <f>SUM(J226:K226)</f>
        <v>6599.9999999999991</v>
      </c>
      <c r="K227" s="34"/>
      <c r="L227" s="34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3.25" x14ac:dyDescent="0.35">
      <c r="A228" s="26"/>
      <c r="B228" s="43"/>
      <c r="C228" s="43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46.5" x14ac:dyDescent="0.35">
      <c r="A229" s="79" t="s">
        <v>93</v>
      </c>
      <c r="B229" s="23" t="s">
        <v>94</v>
      </c>
      <c r="C229" s="23" t="s">
        <v>1</v>
      </c>
      <c r="D229" s="24" t="s">
        <v>284</v>
      </c>
      <c r="E229" s="24" t="s">
        <v>285</v>
      </c>
      <c r="F229" s="24" t="s">
        <v>286</v>
      </c>
      <c r="G229" s="24" t="s">
        <v>287</v>
      </c>
      <c r="H229" s="24" t="s">
        <v>286</v>
      </c>
      <c r="I229" s="24" t="s">
        <v>287</v>
      </c>
      <c r="J229" s="24" t="s">
        <v>288</v>
      </c>
      <c r="K229" s="24" t="s">
        <v>234</v>
      </c>
      <c r="L229" s="80" t="s">
        <v>302</v>
      </c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3.25" x14ac:dyDescent="0.35">
      <c r="A230" s="148" t="s">
        <v>14</v>
      </c>
      <c r="B230" s="145" t="s">
        <v>290</v>
      </c>
      <c r="C230" s="145" t="s">
        <v>16</v>
      </c>
      <c r="D230" s="27">
        <v>46086</v>
      </c>
      <c r="E230" s="28" t="s">
        <v>291</v>
      </c>
      <c r="F230" s="29">
        <v>0.29166666666666669</v>
      </c>
      <c r="G230" s="29">
        <v>0.54166666666666663</v>
      </c>
      <c r="H230" s="29">
        <v>0.58333333333333337</v>
      </c>
      <c r="I230" s="29">
        <v>0.875</v>
      </c>
      <c r="J230" s="30">
        <f t="shared" ref="J230:J236" si="57">(((I230-H230)+(G230-F230))*24)</f>
        <v>12.999999999999996</v>
      </c>
      <c r="K230" s="30">
        <f t="shared" ref="K230:K232" si="58">J230-8</f>
        <v>4.9999999999999964</v>
      </c>
      <c r="L230" s="81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3.25" x14ac:dyDescent="0.35">
      <c r="A231" s="149"/>
      <c r="B231" s="146"/>
      <c r="C231" s="146"/>
      <c r="D231" s="27">
        <v>46087</v>
      </c>
      <c r="E231" s="28" t="s">
        <v>292</v>
      </c>
      <c r="F231" s="29">
        <v>0.29166666666666669</v>
      </c>
      <c r="G231" s="29">
        <v>0.54166666666666663</v>
      </c>
      <c r="H231" s="29">
        <v>0.58333333333333337</v>
      </c>
      <c r="I231" s="29">
        <v>0.75</v>
      </c>
      <c r="J231" s="30">
        <f t="shared" si="57"/>
        <v>9.9999999999999982</v>
      </c>
      <c r="K231" s="30">
        <f t="shared" si="58"/>
        <v>1.9999999999999982</v>
      </c>
      <c r="L231" s="81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3.25" x14ac:dyDescent="0.35">
      <c r="A232" s="149"/>
      <c r="B232" s="146"/>
      <c r="C232" s="146"/>
      <c r="D232" s="27">
        <v>46088</v>
      </c>
      <c r="E232" s="28" t="s">
        <v>293</v>
      </c>
      <c r="F232" s="29">
        <v>0.29166666666666669</v>
      </c>
      <c r="G232" s="29">
        <v>0.54166666666666663</v>
      </c>
      <c r="H232" s="29">
        <v>0.58333333333333337</v>
      </c>
      <c r="I232" s="29">
        <v>0.79166666666666663</v>
      </c>
      <c r="J232" s="30">
        <f t="shared" si="57"/>
        <v>10.999999999999996</v>
      </c>
      <c r="K232" s="30">
        <f t="shared" si="58"/>
        <v>2.9999999999999964</v>
      </c>
      <c r="L232" s="81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3.25" x14ac:dyDescent="0.35">
      <c r="A233" s="149"/>
      <c r="B233" s="146"/>
      <c r="C233" s="146"/>
      <c r="D233" s="27">
        <v>46089</v>
      </c>
      <c r="E233" s="28" t="s">
        <v>294</v>
      </c>
      <c r="F233" s="29"/>
      <c r="G233" s="29"/>
      <c r="H233" s="29"/>
      <c r="I233" s="29"/>
      <c r="J233" s="30">
        <f t="shared" si="57"/>
        <v>0</v>
      </c>
      <c r="K233" s="28"/>
      <c r="L233" s="81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3.25" x14ac:dyDescent="0.35">
      <c r="A234" s="149"/>
      <c r="B234" s="146"/>
      <c r="C234" s="146"/>
      <c r="D234" s="27">
        <v>46090</v>
      </c>
      <c r="E234" s="28" t="s">
        <v>295</v>
      </c>
      <c r="F234" s="29">
        <v>0.30902777777777779</v>
      </c>
      <c r="G234" s="29"/>
      <c r="H234" s="29"/>
      <c r="I234" s="131">
        <v>0.86458333333333337</v>
      </c>
      <c r="J234" s="30">
        <f t="shared" si="57"/>
        <v>13.333333333333334</v>
      </c>
      <c r="K234" s="30">
        <f t="shared" ref="K234:K236" si="59">J234-8</f>
        <v>5.3333333333333339</v>
      </c>
      <c r="L234" s="81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3.25" x14ac:dyDescent="0.35">
      <c r="A235" s="149"/>
      <c r="B235" s="146"/>
      <c r="C235" s="146"/>
      <c r="D235" s="27">
        <v>46091</v>
      </c>
      <c r="E235" s="28" t="s">
        <v>296</v>
      </c>
      <c r="F235" s="29">
        <v>0.33333333333333331</v>
      </c>
      <c r="G235" s="29">
        <v>0.54166666666666663</v>
      </c>
      <c r="H235" s="29">
        <v>0.58333333333333337</v>
      </c>
      <c r="I235" s="29">
        <v>0.77083333333333337</v>
      </c>
      <c r="J235" s="30">
        <f t="shared" si="57"/>
        <v>9.5</v>
      </c>
      <c r="K235" s="30">
        <f t="shared" si="59"/>
        <v>1.5</v>
      </c>
      <c r="L235" s="81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3.25" x14ac:dyDescent="0.35">
      <c r="A236" s="149"/>
      <c r="B236" s="146"/>
      <c r="C236" s="146"/>
      <c r="D236" s="27">
        <v>46092</v>
      </c>
      <c r="E236" s="28" t="s">
        <v>297</v>
      </c>
      <c r="F236" s="29">
        <v>0.3263888888888889</v>
      </c>
      <c r="G236" s="29">
        <v>0.54166666666666663</v>
      </c>
      <c r="H236" s="29">
        <v>0.58333333333333337</v>
      </c>
      <c r="I236" s="29">
        <v>0.75</v>
      </c>
      <c r="J236" s="30">
        <f t="shared" si="57"/>
        <v>9.1666666666666643</v>
      </c>
      <c r="K236" s="32">
        <f t="shared" si="59"/>
        <v>1.1666666666666643</v>
      </c>
      <c r="L236" s="82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3.25" x14ac:dyDescent="0.35">
      <c r="A237" s="149"/>
      <c r="B237" s="146"/>
      <c r="C237" s="146"/>
      <c r="D237" s="27"/>
      <c r="E237" s="28"/>
      <c r="F237" s="28"/>
      <c r="G237" s="28"/>
      <c r="H237" s="26"/>
      <c r="I237" s="34" t="s">
        <v>298</v>
      </c>
      <c r="J237" s="35">
        <v>1200</v>
      </c>
      <c r="K237" s="34"/>
      <c r="L237" s="34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3.25" x14ac:dyDescent="0.35">
      <c r="A238" s="149"/>
      <c r="B238" s="146"/>
      <c r="C238" s="146"/>
      <c r="D238" s="27"/>
      <c r="E238" s="28"/>
      <c r="F238" s="28"/>
      <c r="G238" s="28"/>
      <c r="H238" s="37"/>
      <c r="I238" s="34" t="s">
        <v>299</v>
      </c>
      <c r="J238" s="35">
        <f>J237*6</f>
        <v>7200</v>
      </c>
      <c r="K238" s="35">
        <f>(J237/8)*(SUM(K230:K236))</f>
        <v>2699.9999999999982</v>
      </c>
      <c r="L238" s="34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3.25" x14ac:dyDescent="0.35">
      <c r="A239" s="150"/>
      <c r="B239" s="147"/>
      <c r="C239" s="147"/>
      <c r="D239" s="38"/>
      <c r="E239" s="39"/>
      <c r="F239" s="39"/>
      <c r="G239" s="39"/>
      <c r="H239" s="40"/>
      <c r="I239" s="41" t="s">
        <v>300</v>
      </c>
      <c r="J239" s="42">
        <f>SUM(J238:K238)</f>
        <v>9899.9999999999982</v>
      </c>
      <c r="K239" s="34"/>
      <c r="L239" s="34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3.25" x14ac:dyDescent="0.35">
      <c r="A240" s="26"/>
      <c r="B240" s="43"/>
      <c r="C240" s="43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46.5" x14ac:dyDescent="0.35">
      <c r="A241" s="79" t="s">
        <v>93</v>
      </c>
      <c r="B241" s="23" t="s">
        <v>94</v>
      </c>
      <c r="C241" s="23" t="s">
        <v>1</v>
      </c>
      <c r="D241" s="24" t="s">
        <v>284</v>
      </c>
      <c r="E241" s="24" t="s">
        <v>285</v>
      </c>
      <c r="F241" s="24" t="s">
        <v>286</v>
      </c>
      <c r="G241" s="24" t="s">
        <v>287</v>
      </c>
      <c r="H241" s="24" t="s">
        <v>286</v>
      </c>
      <c r="I241" s="24" t="s">
        <v>287</v>
      </c>
      <c r="J241" s="24" t="s">
        <v>288</v>
      </c>
      <c r="K241" s="24" t="s">
        <v>234</v>
      </c>
      <c r="L241" s="80" t="s">
        <v>302</v>
      </c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3.25" x14ac:dyDescent="0.35">
      <c r="A242" s="148" t="s">
        <v>350</v>
      </c>
      <c r="B242" s="145" t="s">
        <v>116</v>
      </c>
      <c r="C242" s="145" t="s">
        <v>301</v>
      </c>
      <c r="D242" s="27">
        <v>46086</v>
      </c>
      <c r="E242" s="28" t="s">
        <v>291</v>
      </c>
      <c r="F242" s="29">
        <v>0.29166666666666669</v>
      </c>
      <c r="G242" s="29">
        <v>0.54166666666666663</v>
      </c>
      <c r="H242" s="29">
        <v>0.58333333333333337</v>
      </c>
      <c r="I242" s="29">
        <v>0.875</v>
      </c>
      <c r="J242" s="30">
        <f t="shared" ref="J242:J248" si="60">(((I242-H242)+(G242-F242))*24)</f>
        <v>12.999999999999996</v>
      </c>
      <c r="K242" s="30">
        <f t="shared" ref="K242:K244" si="61">J242-8</f>
        <v>4.9999999999999964</v>
      </c>
      <c r="L242" s="81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3.25" x14ac:dyDescent="0.35">
      <c r="A243" s="149"/>
      <c r="B243" s="146"/>
      <c r="C243" s="146"/>
      <c r="D243" s="27">
        <v>46087</v>
      </c>
      <c r="E243" s="28" t="s">
        <v>292</v>
      </c>
      <c r="F243" s="29">
        <v>0.29166666666666669</v>
      </c>
      <c r="G243" s="29">
        <v>0.54166666666666663</v>
      </c>
      <c r="H243" s="29">
        <v>0.58333333333333337</v>
      </c>
      <c r="I243" s="29">
        <v>0.77083333333333337</v>
      </c>
      <c r="J243" s="30">
        <f t="shared" si="60"/>
        <v>10.499999999999998</v>
      </c>
      <c r="K243" s="30">
        <f t="shared" si="61"/>
        <v>2.4999999999999982</v>
      </c>
      <c r="L243" s="81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3.25" x14ac:dyDescent="0.35">
      <c r="A244" s="149"/>
      <c r="B244" s="146"/>
      <c r="C244" s="146"/>
      <c r="D244" s="27">
        <v>46088</v>
      </c>
      <c r="E244" s="28" t="s">
        <v>293</v>
      </c>
      <c r="F244" s="29">
        <v>0.29166666666666669</v>
      </c>
      <c r="G244" s="29">
        <v>0.54166666666666663</v>
      </c>
      <c r="H244" s="29">
        <v>0.58333333333333337</v>
      </c>
      <c r="I244" s="29">
        <v>0.77083333333333337</v>
      </c>
      <c r="J244" s="30">
        <f t="shared" si="60"/>
        <v>10.499999999999998</v>
      </c>
      <c r="K244" s="30">
        <f t="shared" si="61"/>
        <v>2.4999999999999982</v>
      </c>
      <c r="L244" s="81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3.25" x14ac:dyDescent="0.35">
      <c r="A245" s="149"/>
      <c r="B245" s="146"/>
      <c r="C245" s="146"/>
      <c r="D245" s="27">
        <v>46089</v>
      </c>
      <c r="E245" s="28" t="s">
        <v>294</v>
      </c>
      <c r="F245" s="29"/>
      <c r="G245" s="29"/>
      <c r="H245" s="29"/>
      <c r="I245" s="29"/>
      <c r="J245" s="30">
        <f t="shared" si="60"/>
        <v>0</v>
      </c>
      <c r="K245" s="28"/>
      <c r="L245" s="81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3.25" x14ac:dyDescent="0.35">
      <c r="A246" s="149"/>
      <c r="B246" s="146"/>
      <c r="C246" s="146"/>
      <c r="D246" s="27">
        <v>46090</v>
      </c>
      <c r="E246" s="28" t="s">
        <v>295</v>
      </c>
      <c r="F246" s="29">
        <v>0.30902777777777779</v>
      </c>
      <c r="G246" s="29">
        <v>0.54166666666666663</v>
      </c>
      <c r="H246" s="29">
        <v>0.58333333333333337</v>
      </c>
      <c r="I246" s="131">
        <v>0.73611111111111116</v>
      </c>
      <c r="J246" s="30">
        <f t="shared" si="60"/>
        <v>9.25</v>
      </c>
      <c r="K246" s="30">
        <f t="shared" ref="K246:K248" si="62">J246-8</f>
        <v>1.25</v>
      </c>
      <c r="L246" s="81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3.25" x14ac:dyDescent="0.35">
      <c r="A247" s="149"/>
      <c r="B247" s="146"/>
      <c r="C247" s="146"/>
      <c r="D247" s="27">
        <v>46091</v>
      </c>
      <c r="E247" s="28" t="s">
        <v>296</v>
      </c>
      <c r="F247" s="29">
        <v>0.33333333333333331</v>
      </c>
      <c r="G247" s="29">
        <v>0.54166666666666663</v>
      </c>
      <c r="H247" s="29">
        <v>0.58333333333333337</v>
      </c>
      <c r="I247" s="29">
        <v>0.77083333333333337</v>
      </c>
      <c r="J247" s="30">
        <f t="shared" si="60"/>
        <v>9.5</v>
      </c>
      <c r="K247" s="30">
        <f t="shared" si="62"/>
        <v>1.5</v>
      </c>
      <c r="L247" s="81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3.25" x14ac:dyDescent="0.35">
      <c r="A248" s="149"/>
      <c r="B248" s="146"/>
      <c r="C248" s="146"/>
      <c r="D248" s="27">
        <v>46092</v>
      </c>
      <c r="E248" s="28" t="s">
        <v>297</v>
      </c>
      <c r="F248" s="29">
        <v>0.3263888888888889</v>
      </c>
      <c r="G248" s="29">
        <v>0.54166666666666663</v>
      </c>
      <c r="H248" s="29">
        <v>0.58333333333333337</v>
      </c>
      <c r="I248" s="29">
        <v>0.75</v>
      </c>
      <c r="J248" s="30">
        <f t="shared" si="60"/>
        <v>9.1666666666666643</v>
      </c>
      <c r="K248" s="32">
        <f t="shared" si="62"/>
        <v>1.1666666666666643</v>
      </c>
      <c r="L248" s="82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3.25" x14ac:dyDescent="0.35">
      <c r="A249" s="149"/>
      <c r="B249" s="146"/>
      <c r="C249" s="146"/>
      <c r="D249" s="27"/>
      <c r="E249" s="28"/>
      <c r="F249" s="28"/>
      <c r="G249" s="28"/>
      <c r="H249" s="26"/>
      <c r="I249" s="34" t="s">
        <v>298</v>
      </c>
      <c r="J249" s="35">
        <v>880</v>
      </c>
      <c r="K249" s="34"/>
      <c r="L249" s="34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3.25" x14ac:dyDescent="0.35">
      <c r="A250" s="149"/>
      <c r="B250" s="146"/>
      <c r="C250" s="146"/>
      <c r="D250" s="27"/>
      <c r="E250" s="28"/>
      <c r="F250" s="28"/>
      <c r="G250" s="28"/>
      <c r="H250" s="37"/>
      <c r="I250" s="34" t="s">
        <v>299</v>
      </c>
      <c r="J250" s="35">
        <f>J249*6</f>
        <v>5280</v>
      </c>
      <c r="K250" s="35">
        <f>(J249/8)*(SUM(K242:K248))</f>
        <v>1530.8333333333323</v>
      </c>
      <c r="L250" s="34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3.25" x14ac:dyDescent="0.35">
      <c r="A251" s="150"/>
      <c r="B251" s="147"/>
      <c r="C251" s="147"/>
      <c r="D251" s="38"/>
      <c r="E251" s="39"/>
      <c r="F251" s="39"/>
      <c r="G251" s="39"/>
      <c r="H251" s="40"/>
      <c r="I251" s="41" t="s">
        <v>300</v>
      </c>
      <c r="J251" s="42">
        <f>SUM(J250:K250)</f>
        <v>6810.8333333333321</v>
      </c>
      <c r="K251" s="34"/>
      <c r="L251" s="34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3.25" x14ac:dyDescent="0.35">
      <c r="A252" s="26"/>
      <c r="B252" s="43"/>
      <c r="C252" s="43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46.5" x14ac:dyDescent="0.35">
      <c r="A253" s="79" t="s">
        <v>93</v>
      </c>
      <c r="B253" s="23" t="s">
        <v>94</v>
      </c>
      <c r="C253" s="23" t="s">
        <v>1</v>
      </c>
      <c r="D253" s="24" t="s">
        <v>284</v>
      </c>
      <c r="E253" s="24" t="s">
        <v>285</v>
      </c>
      <c r="F253" s="24" t="s">
        <v>286</v>
      </c>
      <c r="G253" s="24" t="s">
        <v>287</v>
      </c>
      <c r="H253" s="24" t="s">
        <v>286</v>
      </c>
      <c r="I253" s="24" t="s">
        <v>287</v>
      </c>
      <c r="J253" s="24" t="s">
        <v>288</v>
      </c>
      <c r="K253" s="24" t="s">
        <v>234</v>
      </c>
      <c r="L253" s="80" t="s">
        <v>302</v>
      </c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3.25" x14ac:dyDescent="0.35">
      <c r="A254" s="153" t="s">
        <v>22</v>
      </c>
      <c r="B254" s="154" t="s">
        <v>23</v>
      </c>
      <c r="C254" s="154" t="s">
        <v>338</v>
      </c>
      <c r="D254" s="27">
        <v>46086</v>
      </c>
      <c r="E254" s="28" t="s">
        <v>291</v>
      </c>
      <c r="F254" s="29"/>
      <c r="G254" s="29"/>
      <c r="H254" s="29"/>
      <c r="I254" s="29"/>
      <c r="J254" s="30">
        <f t="shared" ref="J254:J260" si="63">(((I254-H254)+(G254-F254))*24)</f>
        <v>0</v>
      </c>
      <c r="K254" s="28"/>
      <c r="L254" s="81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3.25" x14ac:dyDescent="0.35">
      <c r="A255" s="149"/>
      <c r="B255" s="146"/>
      <c r="C255" s="146"/>
      <c r="D255" s="27">
        <v>46087</v>
      </c>
      <c r="E255" s="28" t="s">
        <v>292</v>
      </c>
      <c r="F255" s="29">
        <v>0.29166666666666669</v>
      </c>
      <c r="G255" s="29">
        <v>0.54166666666666663</v>
      </c>
      <c r="H255" s="29">
        <v>0.58333333333333337</v>
      </c>
      <c r="I255" s="29">
        <v>0.77083333333333337</v>
      </c>
      <c r="J255" s="30">
        <f t="shared" si="63"/>
        <v>10.499999999999998</v>
      </c>
      <c r="K255" s="30">
        <f t="shared" ref="K255:K256" si="64">J255-8</f>
        <v>2.4999999999999982</v>
      </c>
      <c r="L255" s="81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3.25" x14ac:dyDescent="0.35">
      <c r="A256" s="149"/>
      <c r="B256" s="146"/>
      <c r="C256" s="146"/>
      <c r="D256" s="27">
        <v>46088</v>
      </c>
      <c r="E256" s="28" t="s">
        <v>293</v>
      </c>
      <c r="F256" s="29">
        <v>0.29166666666666669</v>
      </c>
      <c r="G256" s="29">
        <v>0.54166666666666663</v>
      </c>
      <c r="H256" s="29">
        <v>0.58333333333333337</v>
      </c>
      <c r="I256" s="29">
        <v>0.79166666666666663</v>
      </c>
      <c r="J256" s="30">
        <f t="shared" si="63"/>
        <v>10.999999999999996</v>
      </c>
      <c r="K256" s="30">
        <f t="shared" si="64"/>
        <v>2.9999999999999964</v>
      </c>
      <c r="L256" s="81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3.25" x14ac:dyDescent="0.35">
      <c r="A257" s="149"/>
      <c r="B257" s="146"/>
      <c r="C257" s="146"/>
      <c r="D257" s="27">
        <v>46089</v>
      </c>
      <c r="E257" s="28" t="s">
        <v>294</v>
      </c>
      <c r="F257" s="29"/>
      <c r="G257" s="29"/>
      <c r="H257" s="29"/>
      <c r="I257" s="29"/>
      <c r="J257" s="30">
        <f t="shared" si="63"/>
        <v>0</v>
      </c>
      <c r="K257" s="28"/>
      <c r="L257" s="81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3.25" x14ac:dyDescent="0.35">
      <c r="A258" s="149"/>
      <c r="B258" s="146"/>
      <c r="C258" s="146"/>
      <c r="D258" s="27">
        <v>46090</v>
      </c>
      <c r="E258" s="28" t="s">
        <v>295</v>
      </c>
      <c r="F258" s="29">
        <v>0.3125</v>
      </c>
      <c r="G258" s="29"/>
      <c r="H258" s="29"/>
      <c r="I258" s="131">
        <v>0.86458333333333337</v>
      </c>
      <c r="J258" s="30">
        <f t="shared" si="63"/>
        <v>13.25</v>
      </c>
      <c r="K258" s="30">
        <f t="shared" ref="K258:K260" si="65">J258-8</f>
        <v>5.25</v>
      </c>
      <c r="L258" s="81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3.25" x14ac:dyDescent="0.35">
      <c r="A259" s="149"/>
      <c r="B259" s="146"/>
      <c r="C259" s="146"/>
      <c r="D259" s="27">
        <v>46091</v>
      </c>
      <c r="E259" s="28" t="s">
        <v>296</v>
      </c>
      <c r="F259" s="29">
        <v>0.33333333333333331</v>
      </c>
      <c r="G259" s="29">
        <v>0.54166666666666663</v>
      </c>
      <c r="H259" s="29">
        <v>0.58333333333333337</v>
      </c>
      <c r="I259" s="29">
        <v>0.77083333333333337</v>
      </c>
      <c r="J259" s="30">
        <f t="shared" si="63"/>
        <v>9.5</v>
      </c>
      <c r="K259" s="30">
        <f t="shared" si="65"/>
        <v>1.5</v>
      </c>
      <c r="L259" s="81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3.25" x14ac:dyDescent="0.35">
      <c r="A260" s="149"/>
      <c r="B260" s="146"/>
      <c r="C260" s="146"/>
      <c r="D260" s="27">
        <v>46092</v>
      </c>
      <c r="E260" s="28" t="s">
        <v>297</v>
      </c>
      <c r="F260" s="29">
        <v>0.31944444444444442</v>
      </c>
      <c r="G260" s="29">
        <v>0.54166666666666663</v>
      </c>
      <c r="H260" s="29">
        <v>0.58333333333333337</v>
      </c>
      <c r="I260" s="29">
        <v>0.76041666666666663</v>
      </c>
      <c r="J260" s="30">
        <f t="shared" si="63"/>
        <v>9.5833333333333321</v>
      </c>
      <c r="K260" s="32">
        <f t="shared" si="65"/>
        <v>1.5833333333333321</v>
      </c>
      <c r="L260" s="82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3.25" x14ac:dyDescent="0.35">
      <c r="A261" s="149"/>
      <c r="B261" s="146"/>
      <c r="C261" s="146"/>
      <c r="D261" s="27"/>
      <c r="E261" s="28"/>
      <c r="F261" s="28"/>
      <c r="G261" s="28"/>
      <c r="H261" s="26"/>
      <c r="I261" s="34" t="s">
        <v>298</v>
      </c>
      <c r="J261" s="35">
        <v>1000</v>
      </c>
      <c r="K261" s="34"/>
      <c r="L261" s="34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3.25" x14ac:dyDescent="0.35">
      <c r="A262" s="149"/>
      <c r="B262" s="146"/>
      <c r="C262" s="146"/>
      <c r="D262" s="27"/>
      <c r="E262" s="28"/>
      <c r="F262" s="28"/>
      <c r="G262" s="28"/>
      <c r="H262" s="37"/>
      <c r="I262" s="34" t="s">
        <v>299</v>
      </c>
      <c r="J262" s="35">
        <f>J261*(COUNTIF(J254:J260, "&gt;0.00"))</f>
        <v>5000</v>
      </c>
      <c r="K262" s="35">
        <f>(J261/8)*(SUM(K254:K260))</f>
        <v>1729.1666666666658</v>
      </c>
      <c r="L262" s="34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3.25" x14ac:dyDescent="0.35">
      <c r="A263" s="150"/>
      <c r="B263" s="147"/>
      <c r="C263" s="147"/>
      <c r="D263" s="38"/>
      <c r="E263" s="39"/>
      <c r="F263" s="39"/>
      <c r="G263" s="39"/>
      <c r="H263" s="40"/>
      <c r="I263" s="41" t="s">
        <v>300</v>
      </c>
      <c r="J263" s="42">
        <f>SUM(J262:K262)</f>
        <v>6729.1666666666661</v>
      </c>
      <c r="K263" s="34"/>
      <c r="L263" s="34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3.25" x14ac:dyDescent="0.35">
      <c r="A264" s="26"/>
      <c r="B264" s="43"/>
      <c r="C264" s="43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46.5" x14ac:dyDescent="0.35">
      <c r="A265" s="79" t="s">
        <v>93</v>
      </c>
      <c r="B265" s="23" t="s">
        <v>94</v>
      </c>
      <c r="C265" s="23" t="s">
        <v>1</v>
      </c>
      <c r="D265" s="24" t="s">
        <v>284</v>
      </c>
      <c r="E265" s="24" t="s">
        <v>285</v>
      </c>
      <c r="F265" s="24" t="s">
        <v>286</v>
      </c>
      <c r="G265" s="24" t="s">
        <v>287</v>
      </c>
      <c r="H265" s="24" t="s">
        <v>286</v>
      </c>
      <c r="I265" s="24" t="s">
        <v>287</v>
      </c>
      <c r="J265" s="24" t="s">
        <v>288</v>
      </c>
      <c r="K265" s="24" t="s">
        <v>234</v>
      </c>
      <c r="L265" s="80" t="s">
        <v>302</v>
      </c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3.25" x14ac:dyDescent="0.35">
      <c r="A266" s="148" t="s">
        <v>24</v>
      </c>
      <c r="B266" s="145" t="s">
        <v>25</v>
      </c>
      <c r="C266" s="145" t="s">
        <v>301</v>
      </c>
      <c r="D266" s="27">
        <v>46086</v>
      </c>
      <c r="E266" s="28" t="s">
        <v>291</v>
      </c>
      <c r="F266" s="29">
        <v>0.29166666666666669</v>
      </c>
      <c r="G266" s="29">
        <v>0.54166666666666663</v>
      </c>
      <c r="H266" s="29">
        <v>0.58333333333333337</v>
      </c>
      <c r="I266" s="29">
        <v>0.875</v>
      </c>
      <c r="J266" s="30">
        <f t="shared" ref="J266:J272" si="66">(((I266-H266)+(G266-F266))*24)</f>
        <v>12.999999999999996</v>
      </c>
      <c r="K266" s="30">
        <f t="shared" ref="K266:K268" si="67">J266-8</f>
        <v>4.9999999999999964</v>
      </c>
      <c r="L266" s="81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3.25" x14ac:dyDescent="0.35">
      <c r="A267" s="149"/>
      <c r="B267" s="146"/>
      <c r="C267" s="146"/>
      <c r="D267" s="27">
        <v>46087</v>
      </c>
      <c r="E267" s="28" t="s">
        <v>292</v>
      </c>
      <c r="F267" s="29">
        <v>0.29166666666666669</v>
      </c>
      <c r="G267" s="29">
        <v>0.54166666666666663</v>
      </c>
      <c r="H267" s="29">
        <v>0.58333333333333337</v>
      </c>
      <c r="I267" s="29">
        <v>0.75</v>
      </c>
      <c r="J267" s="30">
        <f t="shared" si="66"/>
        <v>9.9999999999999982</v>
      </c>
      <c r="K267" s="30">
        <f t="shared" si="67"/>
        <v>1.9999999999999982</v>
      </c>
      <c r="L267" s="81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3.25" x14ac:dyDescent="0.35">
      <c r="A268" s="149"/>
      <c r="B268" s="146"/>
      <c r="C268" s="146"/>
      <c r="D268" s="27">
        <v>46088</v>
      </c>
      <c r="E268" s="28" t="s">
        <v>293</v>
      </c>
      <c r="F268" s="29">
        <v>0.29166666666666669</v>
      </c>
      <c r="G268" s="29">
        <v>0.54166666666666663</v>
      </c>
      <c r="H268" s="29">
        <v>0.58333333333333337</v>
      </c>
      <c r="I268" s="29">
        <v>0.76041666666666663</v>
      </c>
      <c r="J268" s="30">
        <f t="shared" si="66"/>
        <v>10.249999999999996</v>
      </c>
      <c r="K268" s="30">
        <f t="shared" si="67"/>
        <v>2.2499999999999964</v>
      </c>
      <c r="L268" s="81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3.25" x14ac:dyDescent="0.35">
      <c r="A269" s="149"/>
      <c r="B269" s="146"/>
      <c r="C269" s="146"/>
      <c r="D269" s="27">
        <v>46089</v>
      </c>
      <c r="E269" s="28" t="s">
        <v>294</v>
      </c>
      <c r="F269" s="29"/>
      <c r="G269" s="29"/>
      <c r="H269" s="29"/>
      <c r="I269" s="29"/>
      <c r="J269" s="30">
        <f t="shared" si="66"/>
        <v>0</v>
      </c>
      <c r="K269" s="28"/>
      <c r="L269" s="81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3.25" x14ac:dyDescent="0.35">
      <c r="A270" s="149"/>
      <c r="B270" s="146"/>
      <c r="C270" s="146"/>
      <c r="D270" s="27">
        <v>46090</v>
      </c>
      <c r="E270" s="28" t="s">
        <v>295</v>
      </c>
      <c r="F270" s="29">
        <v>0.30902777777777779</v>
      </c>
      <c r="G270" s="29">
        <v>0.54166666666666663</v>
      </c>
      <c r="H270" s="29">
        <v>0.58333333333333337</v>
      </c>
      <c r="I270" s="131">
        <v>0.72916666666666663</v>
      </c>
      <c r="J270" s="30">
        <f t="shared" si="66"/>
        <v>9.0833333333333304</v>
      </c>
      <c r="K270" s="30">
        <f t="shared" ref="K270:K272" si="68">J270-8</f>
        <v>1.0833333333333304</v>
      </c>
      <c r="L270" s="81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3.25" x14ac:dyDescent="0.35">
      <c r="A271" s="149"/>
      <c r="B271" s="146"/>
      <c r="C271" s="146"/>
      <c r="D271" s="27">
        <v>46091</v>
      </c>
      <c r="E271" s="28" t="s">
        <v>296</v>
      </c>
      <c r="F271" s="29">
        <v>0.33333333333333331</v>
      </c>
      <c r="G271" s="29">
        <v>0.54166666666666663</v>
      </c>
      <c r="H271" s="29">
        <v>0.58333333333333337</v>
      </c>
      <c r="I271" s="29">
        <v>0.75694444444444442</v>
      </c>
      <c r="J271" s="30">
        <f t="shared" si="66"/>
        <v>9.1666666666666643</v>
      </c>
      <c r="K271" s="30">
        <f t="shared" si="68"/>
        <v>1.1666666666666643</v>
      </c>
      <c r="L271" s="81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3.25" x14ac:dyDescent="0.35">
      <c r="A272" s="149"/>
      <c r="B272" s="146"/>
      <c r="C272" s="146"/>
      <c r="D272" s="27">
        <v>46092</v>
      </c>
      <c r="E272" s="28" t="s">
        <v>297</v>
      </c>
      <c r="F272" s="29">
        <v>0.3263888888888889</v>
      </c>
      <c r="G272" s="29">
        <v>0.54166666666666663</v>
      </c>
      <c r="H272" s="29">
        <v>0.58333333333333337</v>
      </c>
      <c r="I272" s="29">
        <v>0.75</v>
      </c>
      <c r="J272" s="30">
        <f t="shared" si="66"/>
        <v>9.1666666666666643</v>
      </c>
      <c r="K272" s="32">
        <f t="shared" si="68"/>
        <v>1.1666666666666643</v>
      </c>
      <c r="L272" s="82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3.25" x14ac:dyDescent="0.35">
      <c r="A273" s="149"/>
      <c r="B273" s="146"/>
      <c r="C273" s="146"/>
      <c r="D273" s="27"/>
      <c r="E273" s="28"/>
      <c r="F273" s="28"/>
      <c r="G273" s="28"/>
      <c r="H273" s="26"/>
      <c r="I273" s="34" t="s">
        <v>298</v>
      </c>
      <c r="J273" s="35">
        <v>880</v>
      </c>
      <c r="K273" s="34"/>
      <c r="L273" s="34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3.25" x14ac:dyDescent="0.35">
      <c r="A274" s="149"/>
      <c r="B274" s="146"/>
      <c r="C274" s="146"/>
      <c r="D274" s="27"/>
      <c r="E274" s="28"/>
      <c r="F274" s="28"/>
      <c r="G274" s="28"/>
      <c r="H274" s="37"/>
      <c r="I274" s="34" t="s">
        <v>299</v>
      </c>
      <c r="J274" s="35">
        <f>J273*6</f>
        <v>5280</v>
      </c>
      <c r="K274" s="35">
        <f>(J273/8)*(SUM(K266:K272))</f>
        <v>1393.3333333333314</v>
      </c>
      <c r="L274" s="34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3.25" x14ac:dyDescent="0.35">
      <c r="A275" s="150"/>
      <c r="B275" s="147"/>
      <c r="C275" s="147"/>
      <c r="D275" s="38"/>
      <c r="E275" s="39"/>
      <c r="F275" s="39"/>
      <c r="G275" s="39"/>
      <c r="H275" s="40"/>
      <c r="I275" s="41" t="s">
        <v>300</v>
      </c>
      <c r="J275" s="42">
        <f>SUM(J274:K274)</f>
        <v>6673.3333333333312</v>
      </c>
      <c r="K275" s="34"/>
      <c r="L275" s="34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3.25" x14ac:dyDescent="0.35">
      <c r="A276" s="26"/>
      <c r="B276" s="43"/>
      <c r="C276" s="43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46.5" x14ac:dyDescent="0.35">
      <c r="A277" s="79" t="s">
        <v>93</v>
      </c>
      <c r="B277" s="23" t="s">
        <v>94</v>
      </c>
      <c r="C277" s="23" t="s">
        <v>1</v>
      </c>
      <c r="D277" s="24" t="s">
        <v>284</v>
      </c>
      <c r="E277" s="24" t="s">
        <v>285</v>
      </c>
      <c r="F277" s="24" t="s">
        <v>286</v>
      </c>
      <c r="G277" s="24" t="s">
        <v>287</v>
      </c>
      <c r="H277" s="24" t="s">
        <v>286</v>
      </c>
      <c r="I277" s="24" t="s">
        <v>287</v>
      </c>
      <c r="J277" s="24" t="s">
        <v>288</v>
      </c>
      <c r="K277" s="24" t="s">
        <v>234</v>
      </c>
      <c r="L277" s="80" t="s">
        <v>302</v>
      </c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3.25" x14ac:dyDescent="0.35">
      <c r="A278" s="148"/>
      <c r="B278" s="145" t="s">
        <v>118</v>
      </c>
      <c r="C278" s="145" t="s">
        <v>16</v>
      </c>
      <c r="D278" s="27">
        <v>46086</v>
      </c>
      <c r="E278" s="28" t="s">
        <v>291</v>
      </c>
      <c r="F278" s="29">
        <v>0.29166666666666669</v>
      </c>
      <c r="G278" s="29">
        <v>0.54166666666666663</v>
      </c>
      <c r="H278" s="29">
        <v>0.58333333333333337</v>
      </c>
      <c r="I278" s="29">
        <v>0.83333333333333337</v>
      </c>
      <c r="J278" s="30">
        <f t="shared" ref="J278:J284" si="69">(((I278-H278)+(G278-F278))*24)</f>
        <v>11.999999999999998</v>
      </c>
      <c r="K278" s="30">
        <f t="shared" ref="K278:K280" si="70">J278-8</f>
        <v>3.9999999999999982</v>
      </c>
      <c r="L278" s="81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3.25" x14ac:dyDescent="0.35">
      <c r="A279" s="149"/>
      <c r="B279" s="146"/>
      <c r="C279" s="146"/>
      <c r="D279" s="27">
        <v>46087</v>
      </c>
      <c r="E279" s="28" t="s">
        <v>292</v>
      </c>
      <c r="F279" s="29">
        <v>0.29166666666666669</v>
      </c>
      <c r="G279" s="29">
        <v>0.54166666666666663</v>
      </c>
      <c r="H279" s="29">
        <v>0.58333333333333337</v>
      </c>
      <c r="I279" s="29">
        <v>0.77083333333333337</v>
      </c>
      <c r="J279" s="30">
        <f t="shared" si="69"/>
        <v>10.499999999999998</v>
      </c>
      <c r="K279" s="30">
        <f t="shared" si="70"/>
        <v>2.4999999999999982</v>
      </c>
      <c r="L279" s="81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3.25" x14ac:dyDescent="0.35">
      <c r="A280" s="149"/>
      <c r="B280" s="146"/>
      <c r="C280" s="146"/>
      <c r="D280" s="27">
        <v>46088</v>
      </c>
      <c r="E280" s="28" t="s">
        <v>293</v>
      </c>
      <c r="F280" s="29">
        <v>0.29166666666666669</v>
      </c>
      <c r="G280" s="29">
        <v>0.54166666666666663</v>
      </c>
      <c r="H280" s="29">
        <v>0.58333333333333337</v>
      </c>
      <c r="I280" s="29">
        <v>0.76041666666666663</v>
      </c>
      <c r="J280" s="30">
        <f t="shared" si="69"/>
        <v>10.249999999999996</v>
      </c>
      <c r="K280" s="30">
        <f t="shared" si="70"/>
        <v>2.2499999999999964</v>
      </c>
      <c r="L280" s="81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3.25" x14ac:dyDescent="0.35">
      <c r="A281" s="149"/>
      <c r="B281" s="146"/>
      <c r="C281" s="146"/>
      <c r="D281" s="27">
        <v>46089</v>
      </c>
      <c r="E281" s="28" t="s">
        <v>294</v>
      </c>
      <c r="F281" s="29"/>
      <c r="G281" s="29"/>
      <c r="H281" s="29"/>
      <c r="I281" s="29"/>
      <c r="J281" s="30">
        <f t="shared" si="69"/>
        <v>0</v>
      </c>
      <c r="K281" s="28"/>
      <c r="L281" s="81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3.25" x14ac:dyDescent="0.35">
      <c r="A282" s="149"/>
      <c r="B282" s="146"/>
      <c r="C282" s="146"/>
      <c r="D282" s="27">
        <v>46090</v>
      </c>
      <c r="E282" s="28" t="s">
        <v>295</v>
      </c>
      <c r="F282" s="29">
        <v>0.30902777777777779</v>
      </c>
      <c r="G282" s="29">
        <v>0.54166666666666663</v>
      </c>
      <c r="H282" s="29">
        <v>0.58333333333333337</v>
      </c>
      <c r="I282" s="131">
        <v>0.72916666666666663</v>
      </c>
      <c r="J282" s="30">
        <f t="shared" si="69"/>
        <v>9.0833333333333304</v>
      </c>
      <c r="K282" s="30">
        <f t="shared" ref="K282:K284" si="71">J282-8</f>
        <v>1.0833333333333304</v>
      </c>
      <c r="L282" s="81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3.25" x14ac:dyDescent="0.35">
      <c r="A283" s="149"/>
      <c r="B283" s="146"/>
      <c r="C283" s="146"/>
      <c r="D283" s="27">
        <v>46091</v>
      </c>
      <c r="E283" s="28" t="s">
        <v>296</v>
      </c>
      <c r="F283" s="29">
        <v>0.33333333333333331</v>
      </c>
      <c r="G283" s="29">
        <v>0.54166666666666663</v>
      </c>
      <c r="H283" s="29">
        <v>0.58333333333333337</v>
      </c>
      <c r="I283" s="29">
        <v>0.77083333333333337</v>
      </c>
      <c r="J283" s="30">
        <f t="shared" si="69"/>
        <v>9.5</v>
      </c>
      <c r="K283" s="30">
        <f t="shared" si="71"/>
        <v>1.5</v>
      </c>
      <c r="L283" s="81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3.25" x14ac:dyDescent="0.35">
      <c r="A284" s="149"/>
      <c r="B284" s="146"/>
      <c r="C284" s="146"/>
      <c r="D284" s="27">
        <v>46092</v>
      </c>
      <c r="E284" s="28" t="s">
        <v>297</v>
      </c>
      <c r="F284" s="29">
        <v>0.3263888888888889</v>
      </c>
      <c r="G284" s="29">
        <v>0.54166666666666663</v>
      </c>
      <c r="H284" s="29">
        <v>0.58333333333333337</v>
      </c>
      <c r="I284" s="29">
        <v>0.75</v>
      </c>
      <c r="J284" s="30">
        <f t="shared" si="69"/>
        <v>9.1666666666666643</v>
      </c>
      <c r="K284" s="32">
        <f t="shared" si="71"/>
        <v>1.1666666666666643</v>
      </c>
      <c r="L284" s="82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3.25" x14ac:dyDescent="0.35">
      <c r="A285" s="149"/>
      <c r="B285" s="146"/>
      <c r="C285" s="146"/>
      <c r="D285" s="27"/>
      <c r="E285" s="28"/>
      <c r="F285" s="28"/>
      <c r="G285" s="28"/>
      <c r="H285" s="26"/>
      <c r="I285" s="34" t="s">
        <v>298</v>
      </c>
      <c r="J285" s="35">
        <v>1000</v>
      </c>
      <c r="K285" s="34"/>
      <c r="L285" s="34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3.25" x14ac:dyDescent="0.35">
      <c r="A286" s="149"/>
      <c r="B286" s="146"/>
      <c r="C286" s="146"/>
      <c r="D286" s="27"/>
      <c r="E286" s="28"/>
      <c r="F286" s="28"/>
      <c r="G286" s="28"/>
      <c r="H286" s="37"/>
      <c r="I286" s="34" t="s">
        <v>299</v>
      </c>
      <c r="J286" s="35">
        <f>J285*6</f>
        <v>6000</v>
      </c>
      <c r="K286" s="35">
        <f>(J285/8)*(SUM(K278:K284))</f>
        <v>1562.4999999999984</v>
      </c>
      <c r="L286" s="34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3.25" x14ac:dyDescent="0.35">
      <c r="A287" s="150"/>
      <c r="B287" s="147"/>
      <c r="C287" s="147"/>
      <c r="D287" s="38"/>
      <c r="E287" s="39"/>
      <c r="F287" s="39"/>
      <c r="G287" s="39"/>
      <c r="H287" s="40"/>
      <c r="I287" s="41" t="s">
        <v>300</v>
      </c>
      <c r="J287" s="42">
        <f>SUM(J286:K286)</f>
        <v>7562.4999999999982</v>
      </c>
      <c r="K287" s="34"/>
      <c r="L287" s="34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3.25" x14ac:dyDescent="0.35">
      <c r="A288" s="26"/>
      <c r="B288" s="43"/>
      <c r="C288" s="43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46.5" x14ac:dyDescent="0.35">
      <c r="A289" s="79" t="s">
        <v>93</v>
      </c>
      <c r="B289" s="23" t="s">
        <v>94</v>
      </c>
      <c r="C289" s="23" t="s">
        <v>1</v>
      </c>
      <c r="D289" s="24" t="s">
        <v>284</v>
      </c>
      <c r="E289" s="24" t="s">
        <v>285</v>
      </c>
      <c r="F289" s="24" t="s">
        <v>286</v>
      </c>
      <c r="G289" s="24" t="s">
        <v>287</v>
      </c>
      <c r="H289" s="24" t="s">
        <v>286</v>
      </c>
      <c r="I289" s="24" t="s">
        <v>287</v>
      </c>
      <c r="J289" s="24" t="s">
        <v>288</v>
      </c>
      <c r="K289" s="24" t="s">
        <v>234</v>
      </c>
      <c r="L289" s="80" t="s">
        <v>302</v>
      </c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3.25" x14ac:dyDescent="0.35">
      <c r="A290" s="148" t="s">
        <v>78</v>
      </c>
      <c r="B290" s="145" t="s">
        <v>79</v>
      </c>
      <c r="C290" s="145" t="s">
        <v>301</v>
      </c>
      <c r="D290" s="27">
        <v>46086</v>
      </c>
      <c r="E290" s="28" t="s">
        <v>291</v>
      </c>
      <c r="F290" s="29">
        <v>0.16666666666666666</v>
      </c>
      <c r="G290" s="29">
        <v>0.54166666666666663</v>
      </c>
      <c r="H290" s="29">
        <v>0.58333333333333337</v>
      </c>
      <c r="I290" s="29">
        <v>0.70833333333333337</v>
      </c>
      <c r="J290" s="30">
        <f t="shared" ref="J290:J296" si="72">(((I290-H290)+(G290-F290))*24)</f>
        <v>12</v>
      </c>
      <c r="K290" s="30">
        <f t="shared" ref="K290:K292" si="73">J290-8</f>
        <v>4</v>
      </c>
      <c r="L290" s="81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3.25" x14ac:dyDescent="0.35">
      <c r="A291" s="149"/>
      <c r="B291" s="146"/>
      <c r="C291" s="146"/>
      <c r="D291" s="27">
        <v>46087</v>
      </c>
      <c r="E291" s="28" t="s">
        <v>292</v>
      </c>
      <c r="F291" s="29">
        <v>0.16666666666666666</v>
      </c>
      <c r="G291" s="29">
        <v>0.54166666666666663</v>
      </c>
      <c r="H291" s="29">
        <v>0.58333333333333337</v>
      </c>
      <c r="I291" s="29">
        <v>0.70833333333333337</v>
      </c>
      <c r="J291" s="30">
        <f t="shared" si="72"/>
        <v>12</v>
      </c>
      <c r="K291" s="30">
        <f t="shared" si="73"/>
        <v>4</v>
      </c>
      <c r="L291" s="81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3.25" x14ac:dyDescent="0.35">
      <c r="A292" s="149"/>
      <c r="B292" s="146"/>
      <c r="C292" s="146"/>
      <c r="D292" s="27">
        <v>46088</v>
      </c>
      <c r="E292" s="28" t="s">
        <v>293</v>
      </c>
      <c r="F292" s="29">
        <v>0.16666666666666666</v>
      </c>
      <c r="G292" s="29">
        <v>0.54166666666666663</v>
      </c>
      <c r="H292" s="29">
        <v>0.58333333333333337</v>
      </c>
      <c r="I292" s="29">
        <v>0.70833333333333337</v>
      </c>
      <c r="J292" s="30">
        <f t="shared" si="72"/>
        <v>12</v>
      </c>
      <c r="K292" s="30">
        <f t="shared" si="73"/>
        <v>4</v>
      </c>
      <c r="L292" s="81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3.25" x14ac:dyDescent="0.35">
      <c r="A293" s="149"/>
      <c r="B293" s="146"/>
      <c r="C293" s="146"/>
      <c r="D293" s="27">
        <v>46089</v>
      </c>
      <c r="E293" s="28" t="s">
        <v>294</v>
      </c>
      <c r="F293" s="29"/>
      <c r="G293" s="29"/>
      <c r="H293" s="29"/>
      <c r="I293" s="29"/>
      <c r="J293" s="30">
        <f t="shared" si="72"/>
        <v>0</v>
      </c>
      <c r="K293" s="28"/>
      <c r="L293" s="81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3.25" x14ac:dyDescent="0.35">
      <c r="A294" s="149"/>
      <c r="B294" s="146"/>
      <c r="C294" s="146"/>
      <c r="D294" s="27">
        <v>46090</v>
      </c>
      <c r="E294" s="28" t="s">
        <v>295</v>
      </c>
      <c r="F294" s="29">
        <v>0.16666666666666666</v>
      </c>
      <c r="G294" s="29">
        <v>0.54166666666666663</v>
      </c>
      <c r="H294" s="29">
        <v>0.58333333333333337</v>
      </c>
      <c r="I294" s="29">
        <v>0.70833333333333337</v>
      </c>
      <c r="J294" s="30">
        <f t="shared" si="72"/>
        <v>12</v>
      </c>
      <c r="K294" s="30">
        <f t="shared" ref="K294:K296" si="74">J294-8</f>
        <v>4</v>
      </c>
      <c r="L294" s="81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3.25" x14ac:dyDescent="0.35">
      <c r="A295" s="149"/>
      <c r="B295" s="146"/>
      <c r="C295" s="146"/>
      <c r="D295" s="27">
        <v>46091</v>
      </c>
      <c r="E295" s="28" t="s">
        <v>296</v>
      </c>
      <c r="F295" s="29">
        <v>0.16666666666666666</v>
      </c>
      <c r="G295" s="29">
        <v>0.54166666666666663</v>
      </c>
      <c r="H295" s="29">
        <v>0.58333333333333337</v>
      </c>
      <c r="I295" s="29">
        <v>0.70833333333333337</v>
      </c>
      <c r="J295" s="30">
        <f t="shared" si="72"/>
        <v>12</v>
      </c>
      <c r="K295" s="30">
        <f t="shared" si="74"/>
        <v>4</v>
      </c>
      <c r="L295" s="81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3.25" x14ac:dyDescent="0.35">
      <c r="A296" s="149"/>
      <c r="B296" s="146"/>
      <c r="C296" s="146"/>
      <c r="D296" s="27">
        <v>46092</v>
      </c>
      <c r="E296" s="28" t="s">
        <v>297</v>
      </c>
      <c r="F296" s="29">
        <v>0.16666666666666666</v>
      </c>
      <c r="G296" s="29">
        <v>0.54166666666666663</v>
      </c>
      <c r="H296" s="29">
        <v>0.58333333333333337</v>
      </c>
      <c r="I296" s="29">
        <v>0.70833333333333337</v>
      </c>
      <c r="J296" s="30">
        <f t="shared" si="72"/>
        <v>12</v>
      </c>
      <c r="K296" s="32">
        <f t="shared" si="74"/>
        <v>4</v>
      </c>
      <c r="L296" s="82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3.25" x14ac:dyDescent="0.35">
      <c r="A297" s="149"/>
      <c r="B297" s="146"/>
      <c r="C297" s="146"/>
      <c r="D297" s="27"/>
      <c r="E297" s="28"/>
      <c r="F297" s="28"/>
      <c r="G297" s="28"/>
      <c r="H297" s="26"/>
      <c r="I297" s="34" t="s">
        <v>298</v>
      </c>
      <c r="J297" s="35">
        <v>800</v>
      </c>
      <c r="K297" s="34"/>
      <c r="L297" s="34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3.25" x14ac:dyDescent="0.35">
      <c r="A298" s="149"/>
      <c r="B298" s="146"/>
      <c r="C298" s="146"/>
      <c r="D298" s="27"/>
      <c r="E298" s="28"/>
      <c r="F298" s="28"/>
      <c r="G298" s="28"/>
      <c r="H298" s="37"/>
      <c r="I298" s="34" t="s">
        <v>299</v>
      </c>
      <c r="J298" s="35">
        <f>J297*6</f>
        <v>4800</v>
      </c>
      <c r="K298" s="35">
        <f>(J297/8)*(SUM(K290:K296))</f>
        <v>2400</v>
      </c>
      <c r="L298" s="34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3.25" x14ac:dyDescent="0.35">
      <c r="A299" s="150"/>
      <c r="B299" s="147"/>
      <c r="C299" s="147"/>
      <c r="D299" s="38"/>
      <c r="E299" s="39"/>
      <c r="F299" s="39"/>
      <c r="G299" s="39"/>
      <c r="H299" s="40"/>
      <c r="I299" s="41" t="s">
        <v>300</v>
      </c>
      <c r="J299" s="42">
        <f>SUM(J298:K298)</f>
        <v>7200</v>
      </c>
      <c r="K299" s="34"/>
      <c r="L299" s="34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3.25" x14ac:dyDescent="0.3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46.5" x14ac:dyDescent="0.35">
      <c r="A301" s="79" t="s">
        <v>93</v>
      </c>
      <c r="B301" s="23" t="s">
        <v>94</v>
      </c>
      <c r="C301" s="23" t="s">
        <v>1</v>
      </c>
      <c r="D301" s="24" t="s">
        <v>284</v>
      </c>
      <c r="E301" s="24" t="s">
        <v>285</v>
      </c>
      <c r="F301" s="24" t="s">
        <v>286</v>
      </c>
      <c r="G301" s="24" t="s">
        <v>287</v>
      </c>
      <c r="H301" s="24" t="s">
        <v>286</v>
      </c>
      <c r="I301" s="24" t="s">
        <v>287</v>
      </c>
      <c r="J301" s="24" t="s">
        <v>288</v>
      </c>
      <c r="K301" s="24" t="s">
        <v>234</v>
      </c>
      <c r="L301" s="80" t="s">
        <v>302</v>
      </c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3.25" x14ac:dyDescent="0.35">
      <c r="A302" s="148" t="s">
        <v>57</v>
      </c>
      <c r="B302" s="145" t="s">
        <v>58</v>
      </c>
      <c r="C302" s="145" t="s">
        <v>301</v>
      </c>
      <c r="D302" s="27">
        <v>46086</v>
      </c>
      <c r="E302" s="28" t="s">
        <v>291</v>
      </c>
      <c r="F302" s="29">
        <v>0.29166666666666669</v>
      </c>
      <c r="G302" s="29">
        <v>0.54166666666666663</v>
      </c>
      <c r="H302" s="29">
        <v>0.58333333333333337</v>
      </c>
      <c r="I302" s="29">
        <v>0.79166666666666663</v>
      </c>
      <c r="J302" s="30">
        <f t="shared" ref="J302:J308" si="75">(((I302-H302)+(G302-F302))*24)</f>
        <v>10.999999999999996</v>
      </c>
      <c r="K302" s="30">
        <f t="shared" ref="K302:K304" si="76">J302-8</f>
        <v>2.9999999999999964</v>
      </c>
      <c r="L302" s="81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3.25" x14ac:dyDescent="0.35">
      <c r="A303" s="149"/>
      <c r="B303" s="146"/>
      <c r="C303" s="146"/>
      <c r="D303" s="27">
        <v>46087</v>
      </c>
      <c r="E303" s="28" t="s">
        <v>292</v>
      </c>
      <c r="F303" s="29">
        <v>0.29166666666666669</v>
      </c>
      <c r="G303" s="29">
        <v>0.54166666666666663</v>
      </c>
      <c r="H303" s="29">
        <v>0.58333333333333337</v>
      </c>
      <c r="I303" s="29">
        <v>0.79166666666666663</v>
      </c>
      <c r="J303" s="30">
        <f t="shared" si="75"/>
        <v>10.999999999999996</v>
      </c>
      <c r="K303" s="30">
        <f t="shared" si="76"/>
        <v>2.9999999999999964</v>
      </c>
      <c r="L303" s="81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3.25" x14ac:dyDescent="0.35">
      <c r="A304" s="149"/>
      <c r="B304" s="146"/>
      <c r="C304" s="146"/>
      <c r="D304" s="27">
        <v>46088</v>
      </c>
      <c r="E304" s="28" t="s">
        <v>293</v>
      </c>
      <c r="F304" s="29">
        <v>0.29166666666666669</v>
      </c>
      <c r="G304" s="29">
        <v>0.54166666666666663</v>
      </c>
      <c r="H304" s="29">
        <v>0.58333333333333337</v>
      </c>
      <c r="I304" s="29">
        <v>0.79166666666666663</v>
      </c>
      <c r="J304" s="30">
        <f t="shared" si="75"/>
        <v>10.999999999999996</v>
      </c>
      <c r="K304" s="30">
        <f t="shared" si="76"/>
        <v>2.9999999999999964</v>
      </c>
      <c r="L304" s="81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3.25" x14ac:dyDescent="0.35">
      <c r="A305" s="149"/>
      <c r="B305" s="146"/>
      <c r="C305" s="146"/>
      <c r="D305" s="27">
        <v>46089</v>
      </c>
      <c r="E305" s="28" t="s">
        <v>294</v>
      </c>
      <c r="F305" s="29"/>
      <c r="G305" s="29"/>
      <c r="H305" s="29"/>
      <c r="I305" s="29"/>
      <c r="J305" s="30">
        <f t="shared" si="75"/>
        <v>0</v>
      </c>
      <c r="K305" s="28"/>
      <c r="L305" s="81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3.25" x14ac:dyDescent="0.35">
      <c r="A306" s="149"/>
      <c r="B306" s="146"/>
      <c r="C306" s="146"/>
      <c r="D306" s="27">
        <v>46090</v>
      </c>
      <c r="E306" s="28" t="s">
        <v>295</v>
      </c>
      <c r="F306" s="29">
        <v>0.29166666666666669</v>
      </c>
      <c r="G306" s="29">
        <v>0.54166666666666663</v>
      </c>
      <c r="H306" s="29">
        <v>0.58333333333333337</v>
      </c>
      <c r="I306" s="29">
        <v>0.79166666666666663</v>
      </c>
      <c r="J306" s="30">
        <f t="shared" si="75"/>
        <v>10.999999999999996</v>
      </c>
      <c r="K306" s="30">
        <f t="shared" ref="K306:K308" si="77">J306-8</f>
        <v>2.9999999999999964</v>
      </c>
      <c r="L306" s="81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3.25" x14ac:dyDescent="0.35">
      <c r="A307" s="149"/>
      <c r="B307" s="146"/>
      <c r="C307" s="146"/>
      <c r="D307" s="27">
        <v>46091</v>
      </c>
      <c r="E307" s="28" t="s">
        <v>296</v>
      </c>
      <c r="F307" s="29">
        <v>0.29166666666666669</v>
      </c>
      <c r="G307" s="29">
        <v>0.54166666666666663</v>
      </c>
      <c r="H307" s="29">
        <v>0.58333333333333337</v>
      </c>
      <c r="I307" s="29">
        <v>0.79166666666666663</v>
      </c>
      <c r="J307" s="30">
        <f t="shared" si="75"/>
        <v>10.999999999999996</v>
      </c>
      <c r="K307" s="30">
        <f t="shared" si="77"/>
        <v>2.9999999999999964</v>
      </c>
      <c r="L307" s="81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3.25" x14ac:dyDescent="0.35">
      <c r="A308" s="149"/>
      <c r="B308" s="146"/>
      <c r="C308" s="146"/>
      <c r="D308" s="27">
        <v>46092</v>
      </c>
      <c r="E308" s="28" t="s">
        <v>297</v>
      </c>
      <c r="F308" s="29">
        <v>0.29166666666666669</v>
      </c>
      <c r="G308" s="29">
        <v>0.54166666666666663</v>
      </c>
      <c r="H308" s="29">
        <v>0.58333333333333337</v>
      </c>
      <c r="I308" s="29">
        <v>0.79166666666666663</v>
      </c>
      <c r="J308" s="30">
        <f t="shared" si="75"/>
        <v>10.999999999999996</v>
      </c>
      <c r="K308" s="32">
        <f t="shared" si="77"/>
        <v>2.9999999999999964</v>
      </c>
      <c r="L308" s="82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3.25" x14ac:dyDescent="0.35">
      <c r="A309" s="149"/>
      <c r="B309" s="146"/>
      <c r="C309" s="146"/>
      <c r="D309" s="27"/>
      <c r="E309" s="28"/>
      <c r="F309" s="28"/>
      <c r="G309" s="28"/>
      <c r="H309" s="26"/>
      <c r="I309" s="34" t="s">
        <v>298</v>
      </c>
      <c r="J309" s="35">
        <v>800</v>
      </c>
      <c r="K309" s="34"/>
      <c r="L309" s="34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3.25" x14ac:dyDescent="0.35">
      <c r="A310" s="149"/>
      <c r="B310" s="146"/>
      <c r="C310" s="146"/>
      <c r="D310" s="27"/>
      <c r="E310" s="28"/>
      <c r="F310" s="28"/>
      <c r="G310" s="28"/>
      <c r="H310" s="37"/>
      <c r="I310" s="34" t="s">
        <v>299</v>
      </c>
      <c r="J310" s="35">
        <f>J309*6</f>
        <v>4800</v>
      </c>
      <c r="K310" s="35">
        <f>(J309/8)*(SUM(K302:K308))</f>
        <v>1799.999999999998</v>
      </c>
      <c r="L310" s="34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3.25" x14ac:dyDescent="0.35">
      <c r="A311" s="150"/>
      <c r="B311" s="147"/>
      <c r="C311" s="147"/>
      <c r="D311" s="38"/>
      <c r="E311" s="39"/>
      <c r="F311" s="39"/>
      <c r="G311" s="39"/>
      <c r="H311" s="40"/>
      <c r="I311" s="41" t="s">
        <v>300</v>
      </c>
      <c r="J311" s="42">
        <f>SUM(J310:K310)</f>
        <v>6599.9999999999982</v>
      </c>
      <c r="K311" s="34"/>
      <c r="L311" s="34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3.25" x14ac:dyDescent="0.3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46.5" x14ac:dyDescent="0.35">
      <c r="A313" s="79" t="s">
        <v>93</v>
      </c>
      <c r="B313" s="23" t="s">
        <v>94</v>
      </c>
      <c r="C313" s="23" t="s">
        <v>1</v>
      </c>
      <c r="D313" s="24" t="s">
        <v>284</v>
      </c>
      <c r="E313" s="24" t="s">
        <v>285</v>
      </c>
      <c r="F313" s="24" t="s">
        <v>286</v>
      </c>
      <c r="G313" s="24" t="s">
        <v>287</v>
      </c>
      <c r="H313" s="24" t="s">
        <v>286</v>
      </c>
      <c r="I313" s="24" t="s">
        <v>287</v>
      </c>
      <c r="J313" s="24" t="s">
        <v>288</v>
      </c>
      <c r="K313" s="24" t="s">
        <v>234</v>
      </c>
      <c r="L313" s="80" t="s">
        <v>302</v>
      </c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3.25" x14ac:dyDescent="0.35">
      <c r="A314" s="148" t="s">
        <v>361</v>
      </c>
      <c r="B314" s="151" t="s">
        <v>119</v>
      </c>
      <c r="C314" s="145" t="s">
        <v>338</v>
      </c>
      <c r="D314" s="27">
        <v>46086</v>
      </c>
      <c r="E314" s="28" t="s">
        <v>291</v>
      </c>
      <c r="F314" s="29"/>
      <c r="G314" s="29"/>
      <c r="H314" s="29"/>
      <c r="I314" s="29"/>
      <c r="J314" s="30">
        <f t="shared" ref="J314:J320" si="78">(((I314-H314)+(G314-F314))*24)</f>
        <v>0</v>
      </c>
      <c r="K314" s="28"/>
      <c r="L314" s="81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3.25" x14ac:dyDescent="0.35">
      <c r="A315" s="149"/>
      <c r="B315" s="146"/>
      <c r="C315" s="146"/>
      <c r="D315" s="27">
        <v>46087</v>
      </c>
      <c r="E315" s="28" t="s">
        <v>292</v>
      </c>
      <c r="F315" s="29"/>
      <c r="G315" s="29"/>
      <c r="H315" s="29"/>
      <c r="I315" s="29"/>
      <c r="J315" s="30">
        <f t="shared" si="78"/>
        <v>0</v>
      </c>
      <c r="K315" s="28"/>
      <c r="L315" s="81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3.25" x14ac:dyDescent="0.35">
      <c r="A316" s="149"/>
      <c r="B316" s="146"/>
      <c r="C316" s="146"/>
      <c r="D316" s="27">
        <v>46088</v>
      </c>
      <c r="E316" s="28" t="s">
        <v>293</v>
      </c>
      <c r="F316" s="29">
        <v>0.35416666666666669</v>
      </c>
      <c r="G316" s="29">
        <v>0.54166666666666663</v>
      </c>
      <c r="H316" s="29">
        <v>0.58333333333333337</v>
      </c>
      <c r="I316" s="29">
        <v>0.72916666666666663</v>
      </c>
      <c r="J316" s="30">
        <f t="shared" si="78"/>
        <v>7.9999999999999964</v>
      </c>
      <c r="K316" s="30">
        <f>J316-8</f>
        <v>0</v>
      </c>
      <c r="L316" s="81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3.25" x14ac:dyDescent="0.35">
      <c r="A317" s="149"/>
      <c r="B317" s="146"/>
      <c r="C317" s="146"/>
      <c r="D317" s="27">
        <v>46089</v>
      </c>
      <c r="E317" s="28" t="s">
        <v>294</v>
      </c>
      <c r="F317" s="29"/>
      <c r="G317" s="29"/>
      <c r="H317" s="29"/>
      <c r="I317" s="29"/>
      <c r="J317" s="30">
        <f t="shared" si="78"/>
        <v>0</v>
      </c>
      <c r="K317" s="28"/>
      <c r="L317" s="81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3.25" x14ac:dyDescent="0.35">
      <c r="A318" s="149"/>
      <c r="B318" s="146"/>
      <c r="C318" s="146"/>
      <c r="D318" s="27">
        <v>46090</v>
      </c>
      <c r="E318" s="28" t="s">
        <v>295</v>
      </c>
      <c r="F318" s="29">
        <v>0.35416666666666669</v>
      </c>
      <c r="G318" s="29">
        <v>0.54166666666666663</v>
      </c>
      <c r="H318" s="29">
        <v>0.58333333333333337</v>
      </c>
      <c r="I318" s="29">
        <v>0.72916666666666663</v>
      </c>
      <c r="J318" s="30">
        <f t="shared" si="78"/>
        <v>7.9999999999999964</v>
      </c>
      <c r="K318" s="30">
        <f t="shared" ref="K318:K320" si="79">J318-8</f>
        <v>0</v>
      </c>
      <c r="L318" s="81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3.25" x14ac:dyDescent="0.35">
      <c r="A319" s="149"/>
      <c r="B319" s="146"/>
      <c r="C319" s="146"/>
      <c r="D319" s="27">
        <v>46091</v>
      </c>
      <c r="E319" s="28" t="s">
        <v>296</v>
      </c>
      <c r="F319" s="29">
        <v>0.35416666666666669</v>
      </c>
      <c r="G319" s="29">
        <v>0.54166666666666663</v>
      </c>
      <c r="H319" s="29">
        <v>0.58333333333333337</v>
      </c>
      <c r="I319" s="29">
        <v>0.72916666666666663</v>
      </c>
      <c r="J319" s="30">
        <f t="shared" si="78"/>
        <v>7.9999999999999964</v>
      </c>
      <c r="K319" s="30">
        <f t="shared" si="79"/>
        <v>0</v>
      </c>
      <c r="L319" s="81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3.25" x14ac:dyDescent="0.35">
      <c r="A320" s="149"/>
      <c r="B320" s="146"/>
      <c r="C320" s="146"/>
      <c r="D320" s="27">
        <v>46092</v>
      </c>
      <c r="E320" s="28" t="s">
        <v>297</v>
      </c>
      <c r="F320" s="29">
        <v>0.35416666666666669</v>
      </c>
      <c r="G320" s="29">
        <v>0.54166666666666663</v>
      </c>
      <c r="H320" s="29">
        <v>0.58333333333333337</v>
      </c>
      <c r="I320" s="29">
        <v>0.72916666666666663</v>
      </c>
      <c r="J320" s="30">
        <f t="shared" si="78"/>
        <v>7.9999999999999964</v>
      </c>
      <c r="K320" s="32">
        <f t="shared" si="79"/>
        <v>0</v>
      </c>
      <c r="L320" s="82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3.25" x14ac:dyDescent="0.35">
      <c r="A321" s="149"/>
      <c r="B321" s="146"/>
      <c r="C321" s="146"/>
      <c r="D321" s="27"/>
      <c r="E321" s="28"/>
      <c r="F321" s="28"/>
      <c r="G321" s="28"/>
      <c r="H321" s="26"/>
      <c r="I321" s="34" t="s">
        <v>298</v>
      </c>
      <c r="J321" s="35">
        <v>1000</v>
      </c>
      <c r="K321" s="34"/>
      <c r="L321" s="34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3.25" x14ac:dyDescent="0.35">
      <c r="A322" s="149"/>
      <c r="B322" s="146"/>
      <c r="C322" s="146"/>
      <c r="D322" s="27"/>
      <c r="E322" s="28"/>
      <c r="F322" s="28"/>
      <c r="G322" s="28"/>
      <c r="H322" s="37"/>
      <c r="I322" s="34" t="s">
        <v>299</v>
      </c>
      <c r="J322" s="35">
        <f>J321*(COUNTIF(J314:J320, "&gt;0.00"))</f>
        <v>4000</v>
      </c>
      <c r="K322" s="35">
        <f>(J321/8)*(SUM(K314:K320))</f>
        <v>0</v>
      </c>
      <c r="L322" s="34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3.25" x14ac:dyDescent="0.35">
      <c r="A323" s="150"/>
      <c r="B323" s="147"/>
      <c r="C323" s="147"/>
      <c r="D323" s="38"/>
      <c r="E323" s="39"/>
      <c r="F323" s="39"/>
      <c r="G323" s="39"/>
      <c r="H323" s="40"/>
      <c r="I323" s="41" t="s">
        <v>300</v>
      </c>
      <c r="J323" s="42">
        <f>SUM(J322:K322)</f>
        <v>4000</v>
      </c>
      <c r="K323" s="34"/>
      <c r="L323" s="34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3.25" x14ac:dyDescent="0.3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46.5" x14ac:dyDescent="0.35">
      <c r="A325" s="79" t="s">
        <v>93</v>
      </c>
      <c r="B325" s="23" t="s">
        <v>94</v>
      </c>
      <c r="C325" s="23" t="s">
        <v>1</v>
      </c>
      <c r="D325" s="24" t="s">
        <v>284</v>
      </c>
      <c r="E325" s="24" t="s">
        <v>285</v>
      </c>
      <c r="F325" s="24" t="s">
        <v>286</v>
      </c>
      <c r="G325" s="24" t="s">
        <v>287</v>
      </c>
      <c r="H325" s="24" t="s">
        <v>286</v>
      </c>
      <c r="I325" s="24" t="s">
        <v>287</v>
      </c>
      <c r="J325" s="24" t="s">
        <v>288</v>
      </c>
      <c r="K325" s="24" t="s">
        <v>234</v>
      </c>
      <c r="L325" s="80" t="s">
        <v>302</v>
      </c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3.25" x14ac:dyDescent="0.35">
      <c r="A326" s="152" t="s">
        <v>362</v>
      </c>
      <c r="B326" s="151" t="s">
        <v>121</v>
      </c>
      <c r="C326" s="145" t="s">
        <v>338</v>
      </c>
      <c r="D326" s="27">
        <v>46086</v>
      </c>
      <c r="E326" s="28" t="s">
        <v>291</v>
      </c>
      <c r="F326" s="29"/>
      <c r="G326" s="29"/>
      <c r="H326" s="29"/>
      <c r="I326" s="29"/>
      <c r="J326" s="30">
        <f t="shared" ref="J326:J332" si="80">(((I326-H326)+(G326-F326))*24)</f>
        <v>0</v>
      </c>
      <c r="K326" s="28"/>
      <c r="L326" s="81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3.25" x14ac:dyDescent="0.35">
      <c r="A327" s="149"/>
      <c r="B327" s="146"/>
      <c r="C327" s="146"/>
      <c r="D327" s="27">
        <v>46087</v>
      </c>
      <c r="E327" s="28" t="s">
        <v>292</v>
      </c>
      <c r="F327" s="29"/>
      <c r="G327" s="29"/>
      <c r="H327" s="29"/>
      <c r="I327" s="29"/>
      <c r="J327" s="30">
        <f t="shared" si="80"/>
        <v>0</v>
      </c>
      <c r="K327" s="28"/>
      <c r="L327" s="81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3.25" x14ac:dyDescent="0.35">
      <c r="A328" s="149"/>
      <c r="B328" s="146"/>
      <c r="C328" s="146"/>
      <c r="D328" s="27">
        <v>46088</v>
      </c>
      <c r="E328" s="28" t="s">
        <v>293</v>
      </c>
      <c r="F328" s="29"/>
      <c r="G328" s="29"/>
      <c r="H328" s="29"/>
      <c r="I328" s="29"/>
      <c r="J328" s="30">
        <f t="shared" si="80"/>
        <v>0</v>
      </c>
      <c r="K328" s="28"/>
      <c r="L328" s="81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3.25" x14ac:dyDescent="0.35">
      <c r="A329" s="149"/>
      <c r="B329" s="146"/>
      <c r="C329" s="146"/>
      <c r="D329" s="27">
        <v>46089</v>
      </c>
      <c r="E329" s="28" t="s">
        <v>294</v>
      </c>
      <c r="F329" s="29"/>
      <c r="G329" s="29"/>
      <c r="H329" s="29"/>
      <c r="I329" s="29"/>
      <c r="J329" s="30">
        <f t="shared" si="80"/>
        <v>0</v>
      </c>
      <c r="K329" s="28"/>
      <c r="L329" s="81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3.25" x14ac:dyDescent="0.35">
      <c r="A330" s="149"/>
      <c r="B330" s="146"/>
      <c r="C330" s="146"/>
      <c r="D330" s="27">
        <v>46090</v>
      </c>
      <c r="E330" s="28" t="s">
        <v>295</v>
      </c>
      <c r="F330" s="29"/>
      <c r="G330" s="29"/>
      <c r="H330" s="29"/>
      <c r="I330" s="29"/>
      <c r="J330" s="30">
        <f t="shared" si="80"/>
        <v>0</v>
      </c>
      <c r="K330" s="28"/>
      <c r="L330" s="81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3.25" x14ac:dyDescent="0.35">
      <c r="A331" s="149"/>
      <c r="B331" s="146"/>
      <c r="C331" s="146"/>
      <c r="D331" s="27">
        <v>46091</v>
      </c>
      <c r="E331" s="28" t="s">
        <v>296</v>
      </c>
      <c r="F331" s="29">
        <v>0.35416666666666669</v>
      </c>
      <c r="G331" s="29">
        <v>0.54166666666666663</v>
      </c>
      <c r="H331" s="29">
        <v>0.58333333333333337</v>
      </c>
      <c r="I331" s="29">
        <v>0.72916666666666663</v>
      </c>
      <c r="J331" s="30">
        <f t="shared" si="80"/>
        <v>7.9999999999999964</v>
      </c>
      <c r="K331" s="30">
        <f t="shared" ref="K331:K332" si="81">J331-8</f>
        <v>0</v>
      </c>
      <c r="L331" s="81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3.25" x14ac:dyDescent="0.35">
      <c r="A332" s="149"/>
      <c r="B332" s="146"/>
      <c r="C332" s="146"/>
      <c r="D332" s="27">
        <v>46092</v>
      </c>
      <c r="E332" s="28" t="s">
        <v>297</v>
      </c>
      <c r="F332" s="29">
        <v>0.35416666666666669</v>
      </c>
      <c r="G332" s="29">
        <v>0.54166666666666663</v>
      </c>
      <c r="H332" s="29">
        <v>0.58333333333333337</v>
      </c>
      <c r="I332" s="29">
        <v>0.72916666666666663</v>
      </c>
      <c r="J332" s="30">
        <f t="shared" si="80"/>
        <v>7.9999999999999964</v>
      </c>
      <c r="K332" s="32">
        <f t="shared" si="81"/>
        <v>0</v>
      </c>
      <c r="L332" s="82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3.25" x14ac:dyDescent="0.35">
      <c r="A333" s="149"/>
      <c r="B333" s="146"/>
      <c r="C333" s="146"/>
      <c r="D333" s="27"/>
      <c r="E333" s="28"/>
      <c r="F333" s="28"/>
      <c r="G333" s="28"/>
      <c r="H333" s="26"/>
      <c r="I333" s="34" t="s">
        <v>298</v>
      </c>
      <c r="J333" s="35">
        <v>1000</v>
      </c>
      <c r="K333" s="34"/>
      <c r="L333" s="34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3.25" x14ac:dyDescent="0.35">
      <c r="A334" s="149"/>
      <c r="B334" s="146"/>
      <c r="C334" s="146"/>
      <c r="D334" s="27"/>
      <c r="E334" s="28"/>
      <c r="F334" s="28"/>
      <c r="G334" s="28"/>
      <c r="H334" s="37"/>
      <c r="I334" s="34" t="s">
        <v>299</v>
      </c>
      <c r="J334" s="35">
        <f>J333*(COUNTIF(J326:J332, "&gt;0.00"))</f>
        <v>2000</v>
      </c>
      <c r="K334" s="35">
        <f>(J333/8)*(SUM(K326:K332))</f>
        <v>0</v>
      </c>
      <c r="L334" s="34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3.25" x14ac:dyDescent="0.35">
      <c r="A335" s="150"/>
      <c r="B335" s="147"/>
      <c r="C335" s="147"/>
      <c r="D335" s="38"/>
      <c r="E335" s="39"/>
      <c r="F335" s="39"/>
      <c r="G335" s="39"/>
      <c r="H335" s="40"/>
      <c r="I335" s="41" t="s">
        <v>300</v>
      </c>
      <c r="J335" s="42">
        <f>SUM(J334:K334)</f>
        <v>2000</v>
      </c>
      <c r="K335" s="34"/>
      <c r="L335" s="34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3.25" x14ac:dyDescent="0.3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46.5" x14ac:dyDescent="0.35">
      <c r="A337" s="79" t="s">
        <v>93</v>
      </c>
      <c r="B337" s="23" t="s">
        <v>94</v>
      </c>
      <c r="C337" s="23" t="s">
        <v>1</v>
      </c>
      <c r="D337" s="24" t="s">
        <v>284</v>
      </c>
      <c r="E337" s="24" t="s">
        <v>285</v>
      </c>
      <c r="F337" s="24" t="s">
        <v>286</v>
      </c>
      <c r="G337" s="24" t="s">
        <v>287</v>
      </c>
      <c r="H337" s="24" t="s">
        <v>286</v>
      </c>
      <c r="I337" s="24" t="s">
        <v>287</v>
      </c>
      <c r="J337" s="24" t="s">
        <v>288</v>
      </c>
      <c r="K337" s="24" t="s">
        <v>234</v>
      </c>
      <c r="L337" s="80" t="s">
        <v>302</v>
      </c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3.25" x14ac:dyDescent="0.35">
      <c r="A338" s="152" t="s">
        <v>363</v>
      </c>
      <c r="B338" s="151" t="s">
        <v>122</v>
      </c>
      <c r="C338" s="145" t="s">
        <v>301</v>
      </c>
      <c r="D338" s="27">
        <v>46086</v>
      </c>
      <c r="E338" s="28" t="s">
        <v>291</v>
      </c>
      <c r="F338" s="29"/>
      <c r="G338" s="29"/>
      <c r="H338" s="29"/>
      <c r="I338" s="29"/>
      <c r="J338" s="30">
        <f t="shared" ref="J338:J344" si="82">(((I338-H338)+(G338-F338))*24)</f>
        <v>0</v>
      </c>
      <c r="K338" s="28"/>
      <c r="L338" s="81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3.25" x14ac:dyDescent="0.35">
      <c r="A339" s="149"/>
      <c r="B339" s="146"/>
      <c r="C339" s="146"/>
      <c r="D339" s="27">
        <v>46087</v>
      </c>
      <c r="E339" s="28" t="s">
        <v>292</v>
      </c>
      <c r="F339" s="29"/>
      <c r="G339" s="29"/>
      <c r="H339" s="29"/>
      <c r="I339" s="29"/>
      <c r="J339" s="30">
        <f t="shared" si="82"/>
        <v>0</v>
      </c>
      <c r="K339" s="28"/>
      <c r="L339" s="81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3.25" x14ac:dyDescent="0.35">
      <c r="A340" s="149"/>
      <c r="B340" s="146"/>
      <c r="C340" s="146"/>
      <c r="D340" s="27">
        <v>46088</v>
      </c>
      <c r="E340" s="28" t="s">
        <v>293</v>
      </c>
      <c r="F340" s="29">
        <v>0.35416666666666669</v>
      </c>
      <c r="G340" s="29">
        <v>0.54166666666666663</v>
      </c>
      <c r="H340" s="29">
        <v>0.58333333333333337</v>
      </c>
      <c r="I340" s="29">
        <v>0.72916666666666663</v>
      </c>
      <c r="J340" s="30">
        <f t="shared" si="82"/>
        <v>7.9999999999999964</v>
      </c>
      <c r="K340" s="30">
        <f>J340-8</f>
        <v>0</v>
      </c>
      <c r="L340" s="81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3.25" x14ac:dyDescent="0.35">
      <c r="A341" s="149"/>
      <c r="B341" s="146"/>
      <c r="C341" s="146"/>
      <c r="D341" s="27">
        <v>46089</v>
      </c>
      <c r="E341" s="28" t="s">
        <v>294</v>
      </c>
      <c r="F341" s="29"/>
      <c r="G341" s="29"/>
      <c r="H341" s="29"/>
      <c r="I341" s="29"/>
      <c r="J341" s="30">
        <f t="shared" si="82"/>
        <v>0</v>
      </c>
      <c r="L341" s="81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3.25" x14ac:dyDescent="0.35">
      <c r="A342" s="149"/>
      <c r="B342" s="146"/>
      <c r="C342" s="146"/>
      <c r="D342" s="27">
        <v>46090</v>
      </c>
      <c r="E342" s="28" t="s">
        <v>295</v>
      </c>
      <c r="F342" s="29">
        <v>0.35416666666666669</v>
      </c>
      <c r="G342" s="29">
        <v>0.54166666666666663</v>
      </c>
      <c r="H342" s="29">
        <v>0.58333333333333337</v>
      </c>
      <c r="I342" s="29">
        <v>0.72916666666666663</v>
      </c>
      <c r="J342" s="30">
        <f t="shared" si="82"/>
        <v>7.9999999999999964</v>
      </c>
      <c r="K342" s="32">
        <f t="shared" ref="K342:K344" si="83">J342-8</f>
        <v>0</v>
      </c>
      <c r="L342" s="81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3.25" x14ac:dyDescent="0.35">
      <c r="A343" s="149"/>
      <c r="B343" s="146"/>
      <c r="C343" s="146"/>
      <c r="D343" s="27">
        <v>46091</v>
      </c>
      <c r="E343" s="28" t="s">
        <v>296</v>
      </c>
      <c r="F343" s="29">
        <v>0.35416666666666669</v>
      </c>
      <c r="G343" s="29">
        <v>0.54166666666666663</v>
      </c>
      <c r="H343" s="29">
        <v>0.58333333333333337</v>
      </c>
      <c r="I343" s="29">
        <v>0.72916666666666663</v>
      </c>
      <c r="J343" s="30">
        <f t="shared" si="82"/>
        <v>7.9999999999999964</v>
      </c>
      <c r="K343" s="30">
        <f t="shared" si="83"/>
        <v>0</v>
      </c>
      <c r="L343" s="81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3.25" x14ac:dyDescent="0.35">
      <c r="A344" s="149"/>
      <c r="B344" s="146"/>
      <c r="C344" s="146"/>
      <c r="D344" s="27">
        <v>46092</v>
      </c>
      <c r="E344" s="28" t="s">
        <v>297</v>
      </c>
      <c r="F344" s="29">
        <v>0.35416666666666669</v>
      </c>
      <c r="G344" s="29">
        <v>0.54166666666666663</v>
      </c>
      <c r="H344" s="29">
        <v>0.58333333333333337</v>
      </c>
      <c r="I344" s="29">
        <v>0.72916666666666663</v>
      </c>
      <c r="J344" s="30">
        <f t="shared" si="82"/>
        <v>7.9999999999999964</v>
      </c>
      <c r="K344" s="32">
        <f t="shared" si="83"/>
        <v>0</v>
      </c>
      <c r="L344" s="82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3.25" x14ac:dyDescent="0.35">
      <c r="A345" s="149"/>
      <c r="B345" s="146"/>
      <c r="C345" s="146"/>
      <c r="D345" s="27"/>
      <c r="E345" s="28"/>
      <c r="F345" s="28"/>
      <c r="G345" s="28"/>
      <c r="H345" s="26"/>
      <c r="I345" s="34" t="s">
        <v>298</v>
      </c>
      <c r="J345" s="35">
        <v>800</v>
      </c>
      <c r="K345" s="34"/>
      <c r="L345" s="34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3.25" x14ac:dyDescent="0.35">
      <c r="A346" s="149"/>
      <c r="B346" s="146"/>
      <c r="C346" s="146"/>
      <c r="D346" s="27"/>
      <c r="E346" s="28"/>
      <c r="F346" s="28"/>
      <c r="G346" s="28"/>
      <c r="H346" s="37"/>
      <c r="I346" s="34" t="s">
        <v>299</v>
      </c>
      <c r="J346" s="35">
        <f>J345*(COUNTIF(J338:J344, "&gt;0.00"))</f>
        <v>3200</v>
      </c>
      <c r="K346" s="35">
        <f>(J345/8)*(SUM(K338:K344))</f>
        <v>0</v>
      </c>
      <c r="L346" s="34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3.25" x14ac:dyDescent="0.35">
      <c r="A347" s="150"/>
      <c r="B347" s="147"/>
      <c r="C347" s="147"/>
      <c r="D347" s="38"/>
      <c r="E347" s="39"/>
      <c r="F347" s="39"/>
      <c r="G347" s="39"/>
      <c r="H347" s="40"/>
      <c r="I347" s="41" t="s">
        <v>300</v>
      </c>
      <c r="J347" s="42">
        <f>SUM(J346:K346)</f>
        <v>3200</v>
      </c>
      <c r="K347" s="34"/>
      <c r="L347" s="34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3.25" x14ac:dyDescent="0.3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46.5" x14ac:dyDescent="0.35">
      <c r="A349" s="79" t="s">
        <v>93</v>
      </c>
      <c r="B349" s="23" t="s">
        <v>94</v>
      </c>
      <c r="C349" s="23" t="s">
        <v>1</v>
      </c>
      <c r="D349" s="24" t="s">
        <v>284</v>
      </c>
      <c r="E349" s="24" t="s">
        <v>285</v>
      </c>
      <c r="F349" s="24" t="s">
        <v>286</v>
      </c>
      <c r="G349" s="24" t="s">
        <v>287</v>
      </c>
      <c r="H349" s="24" t="s">
        <v>286</v>
      </c>
      <c r="I349" s="24" t="s">
        <v>287</v>
      </c>
      <c r="J349" s="24" t="s">
        <v>288</v>
      </c>
      <c r="K349" s="24" t="s">
        <v>234</v>
      </c>
      <c r="L349" s="80" t="s">
        <v>302</v>
      </c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3.25" x14ac:dyDescent="0.35">
      <c r="A350" s="152" t="s">
        <v>4</v>
      </c>
      <c r="B350" s="145" t="s">
        <v>5</v>
      </c>
      <c r="C350" s="145" t="s">
        <v>8</v>
      </c>
      <c r="D350" s="27">
        <v>46086</v>
      </c>
      <c r="E350" s="28" t="s">
        <v>291</v>
      </c>
      <c r="F350" s="29">
        <v>0.33333333333333331</v>
      </c>
      <c r="G350" s="29">
        <v>0.54166666666666663</v>
      </c>
      <c r="H350" s="29">
        <v>0.58333333333333337</v>
      </c>
      <c r="I350" s="29">
        <v>0.79166666666666663</v>
      </c>
      <c r="J350" s="30">
        <f t="shared" ref="J350:J356" si="84">(((I350-H350)+(G350-F350))*24)</f>
        <v>9.9999999999999982</v>
      </c>
      <c r="K350" s="30">
        <f t="shared" ref="K350:K352" si="85">J350-8</f>
        <v>1.9999999999999982</v>
      </c>
      <c r="L350" s="81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3.25" x14ac:dyDescent="0.35">
      <c r="A351" s="149"/>
      <c r="B351" s="146"/>
      <c r="C351" s="146"/>
      <c r="D351" s="27">
        <v>46087</v>
      </c>
      <c r="E351" s="28" t="s">
        <v>292</v>
      </c>
      <c r="F351" s="29">
        <v>0.29166666666666669</v>
      </c>
      <c r="G351" s="29">
        <v>0.54166666666666663</v>
      </c>
      <c r="H351" s="29">
        <v>0.58333333333333337</v>
      </c>
      <c r="I351" s="29">
        <v>0.79166666666666663</v>
      </c>
      <c r="J351" s="30">
        <f t="shared" si="84"/>
        <v>10.999999999999996</v>
      </c>
      <c r="K351" s="30">
        <f t="shared" si="85"/>
        <v>2.9999999999999964</v>
      </c>
      <c r="L351" s="81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3.25" x14ac:dyDescent="0.35">
      <c r="A352" s="149"/>
      <c r="B352" s="146"/>
      <c r="C352" s="146"/>
      <c r="D352" s="27">
        <v>46088</v>
      </c>
      <c r="E352" s="28" t="s">
        <v>293</v>
      </c>
      <c r="F352" s="29">
        <v>0.29166666666666669</v>
      </c>
      <c r="G352" s="29">
        <v>0.54166666666666663</v>
      </c>
      <c r="H352" s="29">
        <v>0.58333333333333337</v>
      </c>
      <c r="I352" s="29">
        <v>0.75</v>
      </c>
      <c r="J352" s="30">
        <f t="shared" si="84"/>
        <v>9.9999999999999982</v>
      </c>
      <c r="K352" s="30">
        <f t="shared" si="85"/>
        <v>1.9999999999999982</v>
      </c>
      <c r="L352" s="81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3.25" x14ac:dyDescent="0.35">
      <c r="A353" s="149"/>
      <c r="B353" s="146"/>
      <c r="C353" s="146"/>
      <c r="D353" s="27">
        <v>46089</v>
      </c>
      <c r="E353" s="28" t="s">
        <v>294</v>
      </c>
      <c r="F353" s="29"/>
      <c r="G353" s="29"/>
      <c r="H353" s="29"/>
      <c r="I353" s="29"/>
      <c r="J353" s="30">
        <f t="shared" si="84"/>
        <v>0</v>
      </c>
      <c r="L353" s="81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3.25" x14ac:dyDescent="0.35">
      <c r="A354" s="149"/>
      <c r="B354" s="146"/>
      <c r="C354" s="146"/>
      <c r="D354" s="27">
        <v>46090</v>
      </c>
      <c r="E354" s="28" t="s">
        <v>295</v>
      </c>
      <c r="F354" s="29">
        <v>0.29166666666666669</v>
      </c>
      <c r="G354" s="29">
        <v>0.54166666666666663</v>
      </c>
      <c r="H354" s="29">
        <v>0.58333333333333337</v>
      </c>
      <c r="I354" s="29">
        <v>0.75</v>
      </c>
      <c r="J354" s="30">
        <f t="shared" si="84"/>
        <v>9.9999999999999982</v>
      </c>
      <c r="K354" s="32">
        <f t="shared" ref="K354:K356" si="86">J354-8</f>
        <v>1.9999999999999982</v>
      </c>
      <c r="L354" s="81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3.25" x14ac:dyDescent="0.35">
      <c r="A355" s="149"/>
      <c r="B355" s="146"/>
      <c r="C355" s="146"/>
      <c r="D355" s="27">
        <v>46091</v>
      </c>
      <c r="E355" s="28" t="s">
        <v>296</v>
      </c>
      <c r="F355" s="29">
        <v>0.29166666666666669</v>
      </c>
      <c r="G355" s="29">
        <v>0.54166666666666663</v>
      </c>
      <c r="H355" s="29">
        <v>0.58333333333333337</v>
      </c>
      <c r="I355" s="29">
        <v>0.79166666666666663</v>
      </c>
      <c r="J355" s="30">
        <f t="shared" si="84"/>
        <v>10.999999999999996</v>
      </c>
      <c r="K355" s="30">
        <f t="shared" si="86"/>
        <v>2.9999999999999964</v>
      </c>
      <c r="L355" s="81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3.25" x14ac:dyDescent="0.35">
      <c r="A356" s="149"/>
      <c r="B356" s="146"/>
      <c r="C356" s="146"/>
      <c r="D356" s="27">
        <v>46092</v>
      </c>
      <c r="E356" s="28" t="s">
        <v>297</v>
      </c>
      <c r="F356" s="29">
        <v>0.29166666666666669</v>
      </c>
      <c r="G356" s="29">
        <v>0.54166666666666663</v>
      </c>
      <c r="H356" s="29">
        <v>0.58333333333333337</v>
      </c>
      <c r="I356" s="29">
        <v>0.79166666666666663</v>
      </c>
      <c r="J356" s="30">
        <f t="shared" si="84"/>
        <v>10.999999999999996</v>
      </c>
      <c r="K356" s="32">
        <f t="shared" si="86"/>
        <v>2.9999999999999964</v>
      </c>
      <c r="L356" s="82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3.25" x14ac:dyDescent="0.35">
      <c r="A357" s="149"/>
      <c r="B357" s="146"/>
      <c r="C357" s="146"/>
      <c r="D357" s="27"/>
      <c r="E357" s="28"/>
      <c r="F357" s="28"/>
      <c r="G357" s="28"/>
      <c r="H357" s="26"/>
      <c r="I357" s="34" t="s">
        <v>298</v>
      </c>
      <c r="J357" s="35">
        <v>1400</v>
      </c>
      <c r="K357" s="34"/>
      <c r="L357" s="34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3.25" x14ac:dyDescent="0.35">
      <c r="A358" s="149"/>
      <c r="B358" s="146"/>
      <c r="C358" s="146"/>
      <c r="D358" s="27"/>
      <c r="E358" s="28"/>
      <c r="F358" s="28"/>
      <c r="G358" s="28"/>
      <c r="H358" s="37"/>
      <c r="I358" s="34" t="s">
        <v>299</v>
      </c>
      <c r="J358" s="35">
        <f>J357*(COUNTIF(J350:J356, "&gt;0.00"))</f>
        <v>8400</v>
      </c>
      <c r="K358" s="35">
        <f>(J357/8)*(SUM(K350:K356))</f>
        <v>2624.9999999999973</v>
      </c>
      <c r="L358" s="34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3.25" x14ac:dyDescent="0.35">
      <c r="A359" s="150"/>
      <c r="B359" s="147"/>
      <c r="C359" s="147"/>
      <c r="D359" s="38"/>
      <c r="E359" s="39"/>
      <c r="F359" s="39"/>
      <c r="G359" s="39"/>
      <c r="H359" s="40"/>
      <c r="I359" s="41" t="s">
        <v>300</v>
      </c>
      <c r="J359" s="42">
        <f>SUM(J358:K358)</f>
        <v>11024.999999999996</v>
      </c>
      <c r="K359" s="34"/>
      <c r="L359" s="34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3.25" x14ac:dyDescent="0.3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3.25" x14ac:dyDescent="0.3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3.25" x14ac:dyDescent="0.3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3.25" x14ac:dyDescent="0.3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3.25" x14ac:dyDescent="0.3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3.25" x14ac:dyDescent="0.3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3.25" x14ac:dyDescent="0.3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3.25" x14ac:dyDescent="0.3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3.25" x14ac:dyDescent="0.3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3.25" x14ac:dyDescent="0.3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3.25" x14ac:dyDescent="0.3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3.25" x14ac:dyDescent="0.3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3.25" x14ac:dyDescent="0.3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3.25" x14ac:dyDescent="0.3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3.25" x14ac:dyDescent="0.3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3.25" x14ac:dyDescent="0.3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3.25" x14ac:dyDescent="0.3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3.25" x14ac:dyDescent="0.3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3.25" x14ac:dyDescent="0.3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3.25" x14ac:dyDescent="0.3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3.25" x14ac:dyDescent="0.3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3.25" x14ac:dyDescent="0.3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3.25" x14ac:dyDescent="0.3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3.25" x14ac:dyDescent="0.3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3.25" x14ac:dyDescent="0.3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3.25" x14ac:dyDescent="0.3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3.25" x14ac:dyDescent="0.3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3.25" x14ac:dyDescent="0.3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3.25" x14ac:dyDescent="0.3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3.25" x14ac:dyDescent="0.3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3.25" x14ac:dyDescent="0.3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3.25" x14ac:dyDescent="0.3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3.25" x14ac:dyDescent="0.3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3.25" x14ac:dyDescent="0.3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3.25" x14ac:dyDescent="0.3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3.25" x14ac:dyDescent="0.3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3.25" x14ac:dyDescent="0.3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3.25" x14ac:dyDescent="0.3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3.25" x14ac:dyDescent="0.3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 ht="23.25" x14ac:dyDescent="0.3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 ht="23.25" x14ac:dyDescent="0.3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 ht="23.25" x14ac:dyDescent="0.3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 ht="23.25" x14ac:dyDescent="0.3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 ht="23.25" x14ac:dyDescent="0.3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 ht="23.25" x14ac:dyDescent="0.3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 ht="23.25" x14ac:dyDescent="0.3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 ht="23.25" x14ac:dyDescent="0.3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 ht="23.25" x14ac:dyDescent="0.3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 ht="23.25" x14ac:dyDescent="0.3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 ht="23.25" x14ac:dyDescent="0.3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 ht="23.25" x14ac:dyDescent="0.3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 ht="23.25" x14ac:dyDescent="0.3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 ht="23.25" x14ac:dyDescent="0.3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 ht="23.25" x14ac:dyDescent="0.3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 ht="23.25" x14ac:dyDescent="0.3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 ht="23.25" x14ac:dyDescent="0.3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 ht="23.25" x14ac:dyDescent="0.3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 ht="23.25" x14ac:dyDescent="0.3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 ht="23.25" x14ac:dyDescent="0.3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 ht="23.25" x14ac:dyDescent="0.3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 ht="23.25" x14ac:dyDescent="0.3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 ht="23.25" x14ac:dyDescent="0.3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 ht="23.25" x14ac:dyDescent="0.3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 ht="23.25" x14ac:dyDescent="0.3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ht="23.25" x14ac:dyDescent="0.3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ht="23.25" x14ac:dyDescent="0.3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 ht="23.25" x14ac:dyDescent="0.3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 ht="23.25" x14ac:dyDescent="0.3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 ht="23.25" x14ac:dyDescent="0.3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 ht="23.25" x14ac:dyDescent="0.3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 ht="23.25" x14ac:dyDescent="0.3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 ht="23.25" x14ac:dyDescent="0.3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 ht="23.25" x14ac:dyDescent="0.3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 ht="23.25" x14ac:dyDescent="0.3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 ht="23.25" x14ac:dyDescent="0.3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 ht="23.25" x14ac:dyDescent="0.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 ht="23.25" x14ac:dyDescent="0.3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 ht="23.25" x14ac:dyDescent="0.3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 ht="23.25" x14ac:dyDescent="0.3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 ht="23.25" x14ac:dyDescent="0.3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 ht="23.25" x14ac:dyDescent="0.3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 ht="23.25" x14ac:dyDescent="0.3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 ht="23.25" x14ac:dyDescent="0.3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 ht="23.25" x14ac:dyDescent="0.3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 ht="23.25" x14ac:dyDescent="0.3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 ht="23.25" x14ac:dyDescent="0.3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 ht="23.25" x14ac:dyDescent="0.3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 ht="23.25" x14ac:dyDescent="0.3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 ht="23.25" x14ac:dyDescent="0.3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 ht="23.25" x14ac:dyDescent="0.3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 ht="23.25" x14ac:dyDescent="0.3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 ht="23.25" x14ac:dyDescent="0.3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 ht="23.25" x14ac:dyDescent="0.3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 ht="23.25" x14ac:dyDescent="0.3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23.25" x14ac:dyDescent="0.3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 ht="23.25" x14ac:dyDescent="0.3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 ht="23.25" x14ac:dyDescent="0.3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 ht="23.25" x14ac:dyDescent="0.3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 ht="23.25" x14ac:dyDescent="0.3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 ht="23.25" x14ac:dyDescent="0.3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 ht="23.25" x14ac:dyDescent="0.3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 ht="23.25" x14ac:dyDescent="0.3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 ht="23.25" x14ac:dyDescent="0.3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 ht="23.25" x14ac:dyDescent="0.3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 ht="23.25" x14ac:dyDescent="0.3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 ht="23.25" x14ac:dyDescent="0.3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 ht="23.25" x14ac:dyDescent="0.3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 ht="23.25" x14ac:dyDescent="0.3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 ht="23.25" x14ac:dyDescent="0.3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 ht="23.25" x14ac:dyDescent="0.3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 ht="23.25" x14ac:dyDescent="0.3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 ht="23.25" x14ac:dyDescent="0.3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 ht="23.25" x14ac:dyDescent="0.3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 ht="23.25" x14ac:dyDescent="0.3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 ht="23.25" x14ac:dyDescent="0.3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 ht="23.25" x14ac:dyDescent="0.3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 ht="23.25" x14ac:dyDescent="0.3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 ht="23.25" x14ac:dyDescent="0.3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 ht="23.25" x14ac:dyDescent="0.3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 ht="23.25" x14ac:dyDescent="0.3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 ht="23.25" x14ac:dyDescent="0.3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 ht="23.25" x14ac:dyDescent="0.3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 ht="23.25" x14ac:dyDescent="0.3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 ht="23.25" x14ac:dyDescent="0.3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 ht="23.25" x14ac:dyDescent="0.3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 ht="23.25" x14ac:dyDescent="0.3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 ht="23.25" x14ac:dyDescent="0.3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 ht="23.25" x14ac:dyDescent="0.3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 ht="23.25" x14ac:dyDescent="0.3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 ht="23.25" x14ac:dyDescent="0.3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 ht="23.25" x14ac:dyDescent="0.3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 ht="23.25" x14ac:dyDescent="0.3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 ht="23.25" x14ac:dyDescent="0.3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 ht="23.25" x14ac:dyDescent="0.3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 ht="23.25" x14ac:dyDescent="0.3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 ht="23.25" x14ac:dyDescent="0.3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 ht="23.25" x14ac:dyDescent="0.3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 ht="23.25" x14ac:dyDescent="0.3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 ht="23.25" x14ac:dyDescent="0.3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 ht="23.25" x14ac:dyDescent="0.3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 ht="23.25" x14ac:dyDescent="0.3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 ht="23.25" x14ac:dyDescent="0.3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 ht="23.25" x14ac:dyDescent="0.3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 ht="23.25" x14ac:dyDescent="0.3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 ht="23.25" x14ac:dyDescent="0.3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 ht="23.25" x14ac:dyDescent="0.3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 ht="23.25" x14ac:dyDescent="0.3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 ht="23.25" x14ac:dyDescent="0.3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 ht="23.25" x14ac:dyDescent="0.3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 ht="23.25" x14ac:dyDescent="0.3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 ht="23.25" x14ac:dyDescent="0.3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 ht="23.25" x14ac:dyDescent="0.3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 ht="23.25" x14ac:dyDescent="0.3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 ht="23.25" x14ac:dyDescent="0.3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 ht="23.25" x14ac:dyDescent="0.3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 ht="23.25" x14ac:dyDescent="0.3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 ht="23.25" x14ac:dyDescent="0.3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 ht="23.25" x14ac:dyDescent="0.3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 ht="23.25" x14ac:dyDescent="0.3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 ht="23.25" x14ac:dyDescent="0.3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 ht="23.25" x14ac:dyDescent="0.3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 ht="23.25" x14ac:dyDescent="0.3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 ht="23.25" x14ac:dyDescent="0.3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 ht="23.25" x14ac:dyDescent="0.3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 ht="23.25" x14ac:dyDescent="0.3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 ht="23.25" x14ac:dyDescent="0.3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 ht="23.25" x14ac:dyDescent="0.3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 ht="23.25" x14ac:dyDescent="0.3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 ht="23.25" x14ac:dyDescent="0.3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 ht="23.25" x14ac:dyDescent="0.3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 ht="23.25" x14ac:dyDescent="0.3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 ht="23.25" x14ac:dyDescent="0.3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 ht="23.25" x14ac:dyDescent="0.3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 ht="23.25" x14ac:dyDescent="0.3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 ht="23.25" x14ac:dyDescent="0.3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 ht="23.25" x14ac:dyDescent="0.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 ht="23.25" x14ac:dyDescent="0.3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 ht="23.25" x14ac:dyDescent="0.3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 ht="23.25" x14ac:dyDescent="0.3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 ht="23.25" x14ac:dyDescent="0.3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 ht="23.25" x14ac:dyDescent="0.3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 ht="23.25" x14ac:dyDescent="0.3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 ht="23.25" x14ac:dyDescent="0.3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 ht="23.25" x14ac:dyDescent="0.3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 ht="23.25" x14ac:dyDescent="0.3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 ht="23.25" x14ac:dyDescent="0.3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 ht="23.25" x14ac:dyDescent="0.3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 ht="23.25" x14ac:dyDescent="0.3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 ht="23.25" x14ac:dyDescent="0.3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 ht="23.25" x14ac:dyDescent="0.3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 ht="23.25" x14ac:dyDescent="0.3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 ht="23.25" x14ac:dyDescent="0.3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 ht="23.25" x14ac:dyDescent="0.3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 ht="23.25" x14ac:dyDescent="0.3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 ht="23.25" x14ac:dyDescent="0.3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 ht="23.25" x14ac:dyDescent="0.3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 ht="23.25" x14ac:dyDescent="0.3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 ht="23.25" x14ac:dyDescent="0.3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 ht="23.25" x14ac:dyDescent="0.3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 ht="23.25" x14ac:dyDescent="0.3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 ht="23.25" x14ac:dyDescent="0.3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 ht="23.25" x14ac:dyDescent="0.3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 ht="23.25" x14ac:dyDescent="0.3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 ht="23.25" x14ac:dyDescent="0.3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 ht="23.25" x14ac:dyDescent="0.3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 ht="23.25" x14ac:dyDescent="0.3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 ht="23.25" x14ac:dyDescent="0.3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 ht="23.25" x14ac:dyDescent="0.3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 ht="23.25" x14ac:dyDescent="0.3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 ht="23.25" x14ac:dyDescent="0.3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 ht="23.25" x14ac:dyDescent="0.3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 ht="23.25" x14ac:dyDescent="0.3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 ht="23.25" x14ac:dyDescent="0.3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 ht="23.25" x14ac:dyDescent="0.3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 ht="23.25" x14ac:dyDescent="0.3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 ht="23.25" x14ac:dyDescent="0.3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 ht="23.25" x14ac:dyDescent="0.3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 ht="23.25" x14ac:dyDescent="0.3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 ht="23.25" x14ac:dyDescent="0.3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 ht="23.25" x14ac:dyDescent="0.3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 ht="23.25" x14ac:dyDescent="0.3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 ht="23.25" x14ac:dyDescent="0.3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 ht="23.25" x14ac:dyDescent="0.3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 ht="23.25" x14ac:dyDescent="0.3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 ht="23.25" x14ac:dyDescent="0.3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 ht="23.25" x14ac:dyDescent="0.3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 ht="23.25" x14ac:dyDescent="0.3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 ht="23.25" x14ac:dyDescent="0.3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 ht="23.25" x14ac:dyDescent="0.3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 ht="23.25" x14ac:dyDescent="0.3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 ht="23.25" x14ac:dyDescent="0.3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 ht="23.25" x14ac:dyDescent="0.3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 ht="23.25" x14ac:dyDescent="0.3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 ht="23.25" x14ac:dyDescent="0.3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 ht="23.25" x14ac:dyDescent="0.3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 ht="23.25" x14ac:dyDescent="0.3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 ht="23.25" x14ac:dyDescent="0.3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 ht="23.25" x14ac:dyDescent="0.3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 ht="23.25" x14ac:dyDescent="0.3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 ht="23.25" x14ac:dyDescent="0.3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 ht="23.25" x14ac:dyDescent="0.3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 ht="23.25" x14ac:dyDescent="0.3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 ht="23.25" x14ac:dyDescent="0.3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 ht="23.25" x14ac:dyDescent="0.3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 ht="23.25" x14ac:dyDescent="0.3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 ht="23.25" x14ac:dyDescent="0.3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 ht="23.25" x14ac:dyDescent="0.3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 ht="23.25" x14ac:dyDescent="0.3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 ht="23.25" x14ac:dyDescent="0.3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 ht="23.25" x14ac:dyDescent="0.3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 ht="23.25" x14ac:dyDescent="0.3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 ht="23.25" x14ac:dyDescent="0.3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 ht="23.25" x14ac:dyDescent="0.3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 ht="23.25" x14ac:dyDescent="0.3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 ht="23.25" x14ac:dyDescent="0.3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 ht="23.25" x14ac:dyDescent="0.3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 ht="23.25" x14ac:dyDescent="0.3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 ht="23.25" x14ac:dyDescent="0.3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 ht="23.25" x14ac:dyDescent="0.3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 ht="23.25" x14ac:dyDescent="0.3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 ht="23.25" x14ac:dyDescent="0.3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 ht="23.25" x14ac:dyDescent="0.3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 ht="23.25" x14ac:dyDescent="0.3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 ht="23.25" x14ac:dyDescent="0.3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 ht="23.25" x14ac:dyDescent="0.3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 ht="23.25" x14ac:dyDescent="0.3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 ht="23.25" x14ac:dyDescent="0.3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 ht="23.25" x14ac:dyDescent="0.3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 ht="23.25" x14ac:dyDescent="0.3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 ht="23.25" x14ac:dyDescent="0.3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 ht="23.25" x14ac:dyDescent="0.3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 ht="23.25" x14ac:dyDescent="0.3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 ht="23.25" x14ac:dyDescent="0.3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 ht="23.25" x14ac:dyDescent="0.3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 ht="23.25" x14ac:dyDescent="0.3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 ht="23.25" x14ac:dyDescent="0.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 ht="23.25" x14ac:dyDescent="0.3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 ht="23.25" x14ac:dyDescent="0.3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 ht="23.25" x14ac:dyDescent="0.3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 ht="23.25" x14ac:dyDescent="0.3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 ht="23.25" x14ac:dyDescent="0.3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 ht="23.25" x14ac:dyDescent="0.3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 ht="23.25" x14ac:dyDescent="0.3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 ht="23.25" x14ac:dyDescent="0.3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 ht="23.25" x14ac:dyDescent="0.3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 ht="23.25" x14ac:dyDescent="0.3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 ht="23.25" x14ac:dyDescent="0.3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 ht="23.25" x14ac:dyDescent="0.3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 ht="23.25" x14ac:dyDescent="0.3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 ht="23.25" x14ac:dyDescent="0.3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 ht="23.25" x14ac:dyDescent="0.3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 ht="23.25" x14ac:dyDescent="0.3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 ht="23.25" x14ac:dyDescent="0.3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 ht="23.25" x14ac:dyDescent="0.3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 ht="23.25" x14ac:dyDescent="0.3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 ht="23.25" x14ac:dyDescent="0.3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 ht="23.25" x14ac:dyDescent="0.3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 ht="23.25" x14ac:dyDescent="0.3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 ht="23.25" x14ac:dyDescent="0.3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 ht="23.25" x14ac:dyDescent="0.3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 ht="23.25" x14ac:dyDescent="0.3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 ht="23.25" x14ac:dyDescent="0.3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 ht="23.25" x14ac:dyDescent="0.3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 ht="23.25" x14ac:dyDescent="0.3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 ht="23.25" x14ac:dyDescent="0.3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 ht="23.25" x14ac:dyDescent="0.3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 ht="23.25" x14ac:dyDescent="0.3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 ht="23.25" x14ac:dyDescent="0.3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 ht="23.25" x14ac:dyDescent="0.3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 ht="23.25" x14ac:dyDescent="0.3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 ht="23.25" x14ac:dyDescent="0.3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 ht="23.25" x14ac:dyDescent="0.3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 ht="23.25" x14ac:dyDescent="0.3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 ht="23.25" x14ac:dyDescent="0.3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 ht="23.25" x14ac:dyDescent="0.3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 ht="23.25" x14ac:dyDescent="0.3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 ht="23.25" x14ac:dyDescent="0.3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 ht="23.25" x14ac:dyDescent="0.3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 ht="23.25" x14ac:dyDescent="0.3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 ht="23.25" x14ac:dyDescent="0.3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 ht="23.25" x14ac:dyDescent="0.3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 ht="23.25" x14ac:dyDescent="0.3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 ht="23.25" x14ac:dyDescent="0.3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 ht="23.25" x14ac:dyDescent="0.3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 ht="23.25" x14ac:dyDescent="0.3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 ht="23.25" x14ac:dyDescent="0.3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 ht="23.25" x14ac:dyDescent="0.3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 ht="23.25" x14ac:dyDescent="0.3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 ht="23.25" x14ac:dyDescent="0.3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 ht="23.25" x14ac:dyDescent="0.3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 ht="23.25" x14ac:dyDescent="0.3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 ht="23.25" x14ac:dyDescent="0.3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 ht="23.25" x14ac:dyDescent="0.3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 ht="23.25" x14ac:dyDescent="0.3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 ht="23.25" x14ac:dyDescent="0.3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 ht="23.25" x14ac:dyDescent="0.3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 ht="23.25" x14ac:dyDescent="0.3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 ht="23.25" x14ac:dyDescent="0.3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 ht="23.25" x14ac:dyDescent="0.3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 ht="23.25" x14ac:dyDescent="0.3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 ht="23.25" x14ac:dyDescent="0.3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 ht="23.25" x14ac:dyDescent="0.3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 ht="23.25" x14ac:dyDescent="0.3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 ht="23.25" x14ac:dyDescent="0.3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 ht="23.25" x14ac:dyDescent="0.3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 ht="23.25" x14ac:dyDescent="0.3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 ht="23.25" x14ac:dyDescent="0.3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 ht="23.25" x14ac:dyDescent="0.3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 ht="23.25" x14ac:dyDescent="0.3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 ht="23.25" x14ac:dyDescent="0.3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 ht="23.25" x14ac:dyDescent="0.3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 ht="23.25" x14ac:dyDescent="0.3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 ht="23.25" x14ac:dyDescent="0.3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 ht="23.25" x14ac:dyDescent="0.3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 ht="23.25" x14ac:dyDescent="0.3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 ht="23.25" x14ac:dyDescent="0.3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 ht="23.25" x14ac:dyDescent="0.3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 ht="23.25" x14ac:dyDescent="0.3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 ht="23.25" x14ac:dyDescent="0.3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 ht="23.25" x14ac:dyDescent="0.3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 ht="23.25" x14ac:dyDescent="0.3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 ht="23.25" x14ac:dyDescent="0.3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 ht="23.25" x14ac:dyDescent="0.3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 ht="23.25" x14ac:dyDescent="0.3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 ht="23.25" x14ac:dyDescent="0.3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 ht="23.25" x14ac:dyDescent="0.3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 ht="23.25" x14ac:dyDescent="0.3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 ht="23.25" x14ac:dyDescent="0.3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 ht="23.25" x14ac:dyDescent="0.3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 ht="23.25" x14ac:dyDescent="0.3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 ht="23.25" x14ac:dyDescent="0.3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 ht="23.25" x14ac:dyDescent="0.3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 ht="23.25" x14ac:dyDescent="0.3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 ht="23.25" x14ac:dyDescent="0.3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 ht="23.25" x14ac:dyDescent="0.3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 ht="23.25" x14ac:dyDescent="0.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 ht="23.25" x14ac:dyDescent="0.3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 ht="23.25" x14ac:dyDescent="0.3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 ht="23.25" x14ac:dyDescent="0.3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 ht="23.25" x14ac:dyDescent="0.3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 ht="23.25" x14ac:dyDescent="0.3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 ht="23.25" x14ac:dyDescent="0.3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 ht="23.25" x14ac:dyDescent="0.3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 ht="23.25" x14ac:dyDescent="0.3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 ht="23.25" x14ac:dyDescent="0.3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 ht="23.25" x14ac:dyDescent="0.3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 ht="23.25" x14ac:dyDescent="0.3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 ht="23.25" x14ac:dyDescent="0.3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 ht="23.25" x14ac:dyDescent="0.3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 ht="23.25" x14ac:dyDescent="0.3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 ht="23.25" x14ac:dyDescent="0.3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 ht="23.25" x14ac:dyDescent="0.3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 ht="23.25" x14ac:dyDescent="0.3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 ht="23.25" x14ac:dyDescent="0.3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 ht="23.25" x14ac:dyDescent="0.3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 ht="23.25" x14ac:dyDescent="0.3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 ht="23.25" x14ac:dyDescent="0.3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 ht="23.25" x14ac:dyDescent="0.3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 ht="23.25" x14ac:dyDescent="0.3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 ht="23.25" x14ac:dyDescent="0.3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 ht="23.25" x14ac:dyDescent="0.3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 ht="23.25" x14ac:dyDescent="0.3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 ht="23.25" x14ac:dyDescent="0.3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 ht="23.25" x14ac:dyDescent="0.3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 ht="23.25" x14ac:dyDescent="0.3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 ht="23.25" x14ac:dyDescent="0.3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 ht="23.25" x14ac:dyDescent="0.3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 ht="23.25" x14ac:dyDescent="0.3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 ht="23.25" x14ac:dyDescent="0.3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 ht="23.25" x14ac:dyDescent="0.3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 ht="23.25" x14ac:dyDescent="0.3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 ht="23.25" x14ac:dyDescent="0.3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 ht="23.25" x14ac:dyDescent="0.3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 ht="23.25" x14ac:dyDescent="0.3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 ht="23.25" x14ac:dyDescent="0.3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 ht="23.25" x14ac:dyDescent="0.3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 ht="23.25" x14ac:dyDescent="0.3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 ht="23.25" x14ac:dyDescent="0.3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 ht="23.25" x14ac:dyDescent="0.3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 ht="23.25" x14ac:dyDescent="0.3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 ht="23.25" x14ac:dyDescent="0.3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 ht="23.25" x14ac:dyDescent="0.3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 ht="23.25" x14ac:dyDescent="0.3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 ht="23.25" x14ac:dyDescent="0.3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 ht="23.25" x14ac:dyDescent="0.3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 ht="23.25" x14ac:dyDescent="0.3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 ht="23.25" x14ac:dyDescent="0.3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 ht="23.25" x14ac:dyDescent="0.3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 ht="23.25" x14ac:dyDescent="0.3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 ht="23.25" x14ac:dyDescent="0.3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 ht="23.25" x14ac:dyDescent="0.3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 ht="23.25" x14ac:dyDescent="0.3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 ht="23.25" x14ac:dyDescent="0.3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 ht="23.25" x14ac:dyDescent="0.3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 ht="23.25" x14ac:dyDescent="0.3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 ht="23.25" x14ac:dyDescent="0.3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 ht="23.25" x14ac:dyDescent="0.3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 ht="23.25" x14ac:dyDescent="0.3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 ht="23.25" x14ac:dyDescent="0.3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 ht="23.25" x14ac:dyDescent="0.3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 ht="23.25" x14ac:dyDescent="0.3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 ht="23.25" x14ac:dyDescent="0.3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 ht="23.25" x14ac:dyDescent="0.3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 ht="23.25" x14ac:dyDescent="0.3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 ht="23.25" x14ac:dyDescent="0.3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 ht="23.25" x14ac:dyDescent="0.3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 ht="23.25" x14ac:dyDescent="0.3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 ht="23.25" x14ac:dyDescent="0.3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 ht="23.25" x14ac:dyDescent="0.3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 ht="23.25" x14ac:dyDescent="0.3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 ht="23.25" x14ac:dyDescent="0.3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 ht="23.25" x14ac:dyDescent="0.3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 ht="23.25" x14ac:dyDescent="0.3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 ht="23.25" x14ac:dyDescent="0.3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 ht="23.25" x14ac:dyDescent="0.3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 ht="23.25" x14ac:dyDescent="0.3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 ht="23.25" x14ac:dyDescent="0.3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 ht="23.25" x14ac:dyDescent="0.3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 ht="23.25" x14ac:dyDescent="0.3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 ht="23.25" x14ac:dyDescent="0.3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 ht="23.25" x14ac:dyDescent="0.3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 ht="23.25" x14ac:dyDescent="0.3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 ht="23.25" x14ac:dyDescent="0.3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 ht="23.25" x14ac:dyDescent="0.3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 ht="23.25" x14ac:dyDescent="0.3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 ht="23.25" x14ac:dyDescent="0.3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 ht="23.25" x14ac:dyDescent="0.3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 ht="23.25" x14ac:dyDescent="0.3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 ht="23.25" x14ac:dyDescent="0.3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 ht="23.25" x14ac:dyDescent="0.3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 ht="23.25" x14ac:dyDescent="0.3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 ht="23.25" x14ac:dyDescent="0.3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 ht="23.25" x14ac:dyDescent="0.3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 ht="23.25" x14ac:dyDescent="0.3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 ht="23.25" x14ac:dyDescent="0.3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 ht="23.25" x14ac:dyDescent="0.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 ht="23.25" x14ac:dyDescent="0.3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 ht="23.25" x14ac:dyDescent="0.3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 ht="23.25" x14ac:dyDescent="0.3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 ht="23.25" x14ac:dyDescent="0.3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 ht="23.25" x14ac:dyDescent="0.3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 ht="23.25" x14ac:dyDescent="0.3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 ht="23.25" x14ac:dyDescent="0.3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 ht="23.25" x14ac:dyDescent="0.3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 ht="23.25" x14ac:dyDescent="0.3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 ht="23.25" x14ac:dyDescent="0.3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 ht="23.25" x14ac:dyDescent="0.3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 ht="23.25" x14ac:dyDescent="0.3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 ht="23.25" x14ac:dyDescent="0.3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 ht="23.25" x14ac:dyDescent="0.3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 ht="23.25" x14ac:dyDescent="0.3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 ht="23.25" x14ac:dyDescent="0.3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 ht="23.25" x14ac:dyDescent="0.3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 ht="23.25" x14ac:dyDescent="0.3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 ht="23.25" x14ac:dyDescent="0.3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 ht="23.25" x14ac:dyDescent="0.3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 ht="23.25" x14ac:dyDescent="0.3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 ht="23.25" x14ac:dyDescent="0.3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 ht="23.25" x14ac:dyDescent="0.3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 ht="23.25" x14ac:dyDescent="0.3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 ht="23.25" x14ac:dyDescent="0.3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 ht="23.25" x14ac:dyDescent="0.3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 ht="23.25" x14ac:dyDescent="0.3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 ht="23.25" x14ac:dyDescent="0.3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 ht="23.25" x14ac:dyDescent="0.3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 ht="23.25" x14ac:dyDescent="0.3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 ht="23.25" x14ac:dyDescent="0.3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 ht="23.25" x14ac:dyDescent="0.3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 ht="23.25" x14ac:dyDescent="0.3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 ht="23.25" x14ac:dyDescent="0.3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 ht="23.25" x14ac:dyDescent="0.3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 ht="23.25" x14ac:dyDescent="0.3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 ht="23.25" x14ac:dyDescent="0.3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 ht="23.25" x14ac:dyDescent="0.3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 ht="23.25" x14ac:dyDescent="0.3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 ht="23.25" x14ac:dyDescent="0.3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 ht="23.25" x14ac:dyDescent="0.3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 ht="23.25" x14ac:dyDescent="0.3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 ht="23.25" x14ac:dyDescent="0.3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 ht="23.25" x14ac:dyDescent="0.3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 ht="23.25" x14ac:dyDescent="0.3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 ht="23.25" x14ac:dyDescent="0.3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 ht="23.25" x14ac:dyDescent="0.3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 ht="23.25" x14ac:dyDescent="0.3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 ht="23.25" x14ac:dyDescent="0.3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 ht="23.25" x14ac:dyDescent="0.3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 ht="23.25" x14ac:dyDescent="0.3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 ht="23.25" x14ac:dyDescent="0.3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 ht="23.25" x14ac:dyDescent="0.3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 ht="23.25" x14ac:dyDescent="0.3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 ht="23.25" x14ac:dyDescent="0.3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 ht="23.25" x14ac:dyDescent="0.3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 ht="23.25" x14ac:dyDescent="0.3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 ht="23.25" x14ac:dyDescent="0.3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 ht="23.25" x14ac:dyDescent="0.3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 ht="23.25" x14ac:dyDescent="0.3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 ht="23.25" x14ac:dyDescent="0.3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 ht="23.25" x14ac:dyDescent="0.3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 ht="23.25" x14ac:dyDescent="0.3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 ht="23.25" x14ac:dyDescent="0.3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 ht="23.25" x14ac:dyDescent="0.3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 ht="23.25" x14ac:dyDescent="0.3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 ht="23.25" x14ac:dyDescent="0.3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 ht="23.25" x14ac:dyDescent="0.3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 ht="23.25" x14ac:dyDescent="0.3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 ht="23.25" x14ac:dyDescent="0.3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 ht="23.25" x14ac:dyDescent="0.3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 ht="23.25" x14ac:dyDescent="0.3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 ht="23.25" x14ac:dyDescent="0.3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 ht="23.25" x14ac:dyDescent="0.3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 ht="23.25" x14ac:dyDescent="0.3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 ht="23.25" x14ac:dyDescent="0.3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 ht="23.25" x14ac:dyDescent="0.3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 ht="23.25" x14ac:dyDescent="0.3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 ht="23.25" x14ac:dyDescent="0.3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 ht="23.25" x14ac:dyDescent="0.3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 ht="23.25" x14ac:dyDescent="0.3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 ht="23.25" x14ac:dyDescent="0.3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 ht="23.25" x14ac:dyDescent="0.3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 ht="23.25" x14ac:dyDescent="0.3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 ht="23.25" x14ac:dyDescent="0.3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 ht="23.25" x14ac:dyDescent="0.3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 ht="23.25" x14ac:dyDescent="0.3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 ht="23.25" x14ac:dyDescent="0.3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 ht="23.25" x14ac:dyDescent="0.3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 ht="23.25" x14ac:dyDescent="0.3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 ht="23.25" x14ac:dyDescent="0.3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 ht="23.25" x14ac:dyDescent="0.3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 ht="23.25" x14ac:dyDescent="0.3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 ht="23.25" x14ac:dyDescent="0.3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 ht="23.25" x14ac:dyDescent="0.3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 ht="23.25" x14ac:dyDescent="0.3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 ht="23.25" x14ac:dyDescent="0.3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 ht="23.25" x14ac:dyDescent="0.3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 ht="23.25" x14ac:dyDescent="0.3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 ht="23.25" x14ac:dyDescent="0.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 ht="23.25" x14ac:dyDescent="0.3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 ht="23.25" x14ac:dyDescent="0.3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 ht="23.25" x14ac:dyDescent="0.3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 ht="23.25" x14ac:dyDescent="0.3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 ht="23.25" x14ac:dyDescent="0.3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 ht="23.25" x14ac:dyDescent="0.3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 ht="23.25" x14ac:dyDescent="0.3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 ht="23.25" x14ac:dyDescent="0.3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 ht="23.25" x14ac:dyDescent="0.3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 ht="23.25" x14ac:dyDescent="0.3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 ht="23.25" x14ac:dyDescent="0.3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 ht="23.25" x14ac:dyDescent="0.3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 ht="23.25" x14ac:dyDescent="0.3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 ht="23.25" x14ac:dyDescent="0.3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 ht="23.25" x14ac:dyDescent="0.3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 ht="23.25" x14ac:dyDescent="0.3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 ht="23.25" x14ac:dyDescent="0.3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 ht="23.25" x14ac:dyDescent="0.3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 ht="23.25" x14ac:dyDescent="0.3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 ht="23.25" x14ac:dyDescent="0.3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 ht="23.25" x14ac:dyDescent="0.3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 ht="23.25" x14ac:dyDescent="0.3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 ht="23.25" x14ac:dyDescent="0.3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 ht="23.25" x14ac:dyDescent="0.3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 ht="23.25" x14ac:dyDescent="0.3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 ht="23.25" x14ac:dyDescent="0.3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 ht="23.25" x14ac:dyDescent="0.3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 ht="23.25" x14ac:dyDescent="0.3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 ht="23.25" x14ac:dyDescent="0.3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 ht="23.25" x14ac:dyDescent="0.3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 ht="23.25" x14ac:dyDescent="0.3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 ht="23.25" x14ac:dyDescent="0.3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 ht="23.25" x14ac:dyDescent="0.3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 ht="23.25" x14ac:dyDescent="0.3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 ht="23.25" x14ac:dyDescent="0.3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 ht="23.25" x14ac:dyDescent="0.3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 ht="23.25" x14ac:dyDescent="0.3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 ht="23.25" x14ac:dyDescent="0.3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 ht="23.25" x14ac:dyDescent="0.3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 ht="23.25" x14ac:dyDescent="0.3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 ht="23.25" x14ac:dyDescent="0.3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 ht="23.25" x14ac:dyDescent="0.3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 spans="1:28" ht="23.25" x14ac:dyDescent="0.3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 spans="1:28" ht="23.25" x14ac:dyDescent="0.3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 spans="1:28" ht="23.25" x14ac:dyDescent="0.3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 spans="1:28" ht="23.25" x14ac:dyDescent="0.3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 spans="1:28" ht="23.25" x14ac:dyDescent="0.3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 spans="1:28" ht="23.25" x14ac:dyDescent="0.3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 spans="1:28" ht="23.25" x14ac:dyDescent="0.3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</sheetData>
  <mergeCells count="90">
    <mergeCell ref="B350:B359"/>
    <mergeCell ref="C350:C359"/>
    <mergeCell ref="A326:A335"/>
    <mergeCell ref="B326:B335"/>
    <mergeCell ref="C326:C335"/>
    <mergeCell ref="A338:A347"/>
    <mergeCell ref="B338:B347"/>
    <mergeCell ref="C338:C347"/>
    <mergeCell ref="A350:A359"/>
    <mergeCell ref="B98:B107"/>
    <mergeCell ref="C98:C107"/>
    <mergeCell ref="A74:A83"/>
    <mergeCell ref="B74:B83"/>
    <mergeCell ref="C74:C83"/>
    <mergeCell ref="A86:A95"/>
    <mergeCell ref="B86:B95"/>
    <mergeCell ref="C86:C95"/>
    <mergeCell ref="A98:A107"/>
    <mergeCell ref="B62:B71"/>
    <mergeCell ref="C62:C71"/>
    <mergeCell ref="A38:A47"/>
    <mergeCell ref="B38:B47"/>
    <mergeCell ref="C38:C47"/>
    <mergeCell ref="A50:A59"/>
    <mergeCell ref="B50:B59"/>
    <mergeCell ref="C50:C59"/>
    <mergeCell ref="A62:A71"/>
    <mergeCell ref="B26:B35"/>
    <mergeCell ref="C26:C35"/>
    <mergeCell ref="A2:A11"/>
    <mergeCell ref="B2:B11"/>
    <mergeCell ref="C2:C11"/>
    <mergeCell ref="A14:A23"/>
    <mergeCell ref="B14:B23"/>
    <mergeCell ref="C14:C23"/>
    <mergeCell ref="A26:A35"/>
    <mergeCell ref="B314:B323"/>
    <mergeCell ref="C314:C323"/>
    <mergeCell ref="A290:A299"/>
    <mergeCell ref="B290:B299"/>
    <mergeCell ref="C290:C299"/>
    <mergeCell ref="A302:A311"/>
    <mergeCell ref="B302:B311"/>
    <mergeCell ref="C302:C311"/>
    <mergeCell ref="A314:A323"/>
    <mergeCell ref="B278:B287"/>
    <mergeCell ref="C278:C287"/>
    <mergeCell ref="A254:A263"/>
    <mergeCell ref="B254:B263"/>
    <mergeCell ref="C254:C263"/>
    <mergeCell ref="A266:A275"/>
    <mergeCell ref="B266:B275"/>
    <mergeCell ref="C266:C275"/>
    <mergeCell ref="A278:A287"/>
    <mergeCell ref="B242:B251"/>
    <mergeCell ref="C242:C251"/>
    <mergeCell ref="A218:A227"/>
    <mergeCell ref="B218:B227"/>
    <mergeCell ref="C218:C227"/>
    <mergeCell ref="A230:A239"/>
    <mergeCell ref="B230:B239"/>
    <mergeCell ref="C230:C239"/>
    <mergeCell ref="A242:A251"/>
    <mergeCell ref="B206:B215"/>
    <mergeCell ref="C206:C215"/>
    <mergeCell ref="A182:A191"/>
    <mergeCell ref="B182:B191"/>
    <mergeCell ref="C182:C191"/>
    <mergeCell ref="A194:A203"/>
    <mergeCell ref="B194:B203"/>
    <mergeCell ref="C194:C203"/>
    <mergeCell ref="A206:A215"/>
    <mergeCell ref="B170:B179"/>
    <mergeCell ref="C170:C179"/>
    <mergeCell ref="A146:A155"/>
    <mergeCell ref="B146:B155"/>
    <mergeCell ref="C146:C155"/>
    <mergeCell ref="A158:A167"/>
    <mergeCell ref="B158:B167"/>
    <mergeCell ref="C158:C167"/>
    <mergeCell ref="A170:A179"/>
    <mergeCell ref="B134:B143"/>
    <mergeCell ref="C134:C143"/>
    <mergeCell ref="A110:A119"/>
    <mergeCell ref="B110:B119"/>
    <mergeCell ref="C110:C119"/>
    <mergeCell ref="A122:A131"/>
    <mergeCell ref="B122:B131"/>
    <mergeCell ref="C122:C131"/>
    <mergeCell ref="A134:A14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L47"/>
  <sheetViews>
    <sheetView workbookViewId="0"/>
  </sheetViews>
  <sheetFormatPr defaultColWidth="12.5703125" defaultRowHeight="15.75" customHeight="1" x14ac:dyDescent="0.2"/>
  <cols>
    <col min="1" max="2" width="15.5703125" customWidth="1"/>
    <col min="3" max="3" width="18.42578125" customWidth="1"/>
    <col min="4" max="4" width="8.42578125" customWidth="1"/>
    <col min="5" max="5" width="16.7109375" customWidth="1"/>
    <col min="6" max="8" width="13" customWidth="1"/>
    <col min="9" max="9" width="13.85546875" customWidth="1"/>
    <col min="10" max="11" width="14.5703125" customWidth="1"/>
    <col min="12" max="12" width="15.7109375" customWidth="1"/>
  </cols>
  <sheetData>
    <row r="1" spans="1:12" ht="15.75" customHeight="1" x14ac:dyDescent="0.35">
      <c r="A1" s="79" t="s">
        <v>93</v>
      </c>
      <c r="B1" s="23" t="s">
        <v>94</v>
      </c>
      <c r="C1" s="23" t="s">
        <v>1</v>
      </c>
      <c r="D1" s="24" t="s">
        <v>284</v>
      </c>
      <c r="E1" s="24" t="s">
        <v>285</v>
      </c>
      <c r="F1" s="24" t="s">
        <v>286</v>
      </c>
      <c r="G1" s="24" t="s">
        <v>287</v>
      </c>
      <c r="H1" s="24" t="s">
        <v>286</v>
      </c>
      <c r="I1" s="24" t="s">
        <v>287</v>
      </c>
      <c r="J1" s="24" t="s">
        <v>288</v>
      </c>
      <c r="K1" s="24" t="s">
        <v>234</v>
      </c>
      <c r="L1" s="80" t="s">
        <v>302</v>
      </c>
    </row>
    <row r="2" spans="1:12" ht="15.75" customHeight="1" x14ac:dyDescent="0.35">
      <c r="A2" s="148" t="s">
        <v>31</v>
      </c>
      <c r="B2" s="145" t="s">
        <v>32</v>
      </c>
      <c r="C2" s="145" t="s">
        <v>16</v>
      </c>
      <c r="D2" s="27">
        <v>46086</v>
      </c>
      <c r="E2" s="28" t="s">
        <v>291</v>
      </c>
      <c r="F2" s="29">
        <v>0.29166666666666669</v>
      </c>
      <c r="G2" s="29">
        <v>0.54166666666666663</v>
      </c>
      <c r="H2" s="29">
        <v>0.58333333333333337</v>
      </c>
      <c r="I2" s="29">
        <v>0.875</v>
      </c>
      <c r="J2" s="30">
        <f t="shared" ref="J2:J8" si="0">(((I2-H2)+(G2-F2))*24)</f>
        <v>12.999999999999996</v>
      </c>
      <c r="K2" s="30">
        <f t="shared" ref="K2:K4" si="1">J2-8</f>
        <v>4.9999999999999964</v>
      </c>
      <c r="L2" s="81"/>
    </row>
    <row r="3" spans="1:12" ht="15.75" customHeight="1" x14ac:dyDescent="0.35">
      <c r="A3" s="149"/>
      <c r="B3" s="146"/>
      <c r="C3" s="146"/>
      <c r="D3" s="27">
        <v>46087</v>
      </c>
      <c r="E3" s="28" t="s">
        <v>292</v>
      </c>
      <c r="F3" s="29">
        <v>0.29166666666666669</v>
      </c>
      <c r="G3" s="29">
        <v>0.54166666666666663</v>
      </c>
      <c r="H3" s="29">
        <v>0.58333333333333337</v>
      </c>
      <c r="I3" s="29">
        <v>0.77083333333333337</v>
      </c>
      <c r="J3" s="30">
        <f t="shared" si="0"/>
        <v>10.499999999999998</v>
      </c>
      <c r="K3" s="30">
        <f t="shared" si="1"/>
        <v>2.4999999999999982</v>
      </c>
      <c r="L3" s="81"/>
    </row>
    <row r="4" spans="1:12" ht="15.75" customHeight="1" x14ac:dyDescent="0.35">
      <c r="A4" s="149"/>
      <c r="B4" s="146"/>
      <c r="C4" s="146"/>
      <c r="D4" s="27">
        <v>46088</v>
      </c>
      <c r="E4" s="28" t="s">
        <v>293</v>
      </c>
      <c r="F4" s="29">
        <v>0.29166666666666669</v>
      </c>
      <c r="G4" s="29">
        <v>0.54166666666666663</v>
      </c>
      <c r="H4" s="29">
        <v>0.58333333333333337</v>
      </c>
      <c r="I4" s="29">
        <v>0.79166666666666663</v>
      </c>
      <c r="J4" s="30">
        <f t="shared" si="0"/>
        <v>10.999999999999996</v>
      </c>
      <c r="K4" s="30">
        <f t="shared" si="1"/>
        <v>2.9999999999999964</v>
      </c>
      <c r="L4" s="81"/>
    </row>
    <row r="5" spans="1:12" ht="15.75" customHeight="1" x14ac:dyDescent="0.35">
      <c r="A5" s="149"/>
      <c r="B5" s="146"/>
      <c r="C5" s="146"/>
      <c r="D5" s="27">
        <v>46089</v>
      </c>
      <c r="E5" s="28" t="s">
        <v>294</v>
      </c>
      <c r="F5" s="29"/>
      <c r="G5" s="29"/>
      <c r="H5" s="29"/>
      <c r="I5" s="29"/>
      <c r="J5" s="30">
        <f t="shared" si="0"/>
        <v>0</v>
      </c>
      <c r="K5" s="28"/>
      <c r="L5" s="81"/>
    </row>
    <row r="6" spans="1:12" ht="15.75" customHeight="1" x14ac:dyDescent="0.35">
      <c r="A6" s="149"/>
      <c r="B6" s="146"/>
      <c r="C6" s="146"/>
      <c r="D6" s="27">
        <v>46090</v>
      </c>
      <c r="E6" s="28" t="s">
        <v>295</v>
      </c>
      <c r="F6" s="29">
        <v>0.30902777777777779</v>
      </c>
      <c r="G6" s="29"/>
      <c r="H6" s="29"/>
      <c r="I6" s="131">
        <v>0.86458333333333337</v>
      </c>
      <c r="J6" s="30">
        <f t="shared" si="0"/>
        <v>13.333333333333334</v>
      </c>
      <c r="K6" s="30">
        <f t="shared" ref="K6:K8" si="2">J6-8</f>
        <v>5.3333333333333339</v>
      </c>
      <c r="L6" s="81"/>
    </row>
    <row r="7" spans="1:12" ht="15.75" customHeight="1" x14ac:dyDescent="0.35">
      <c r="A7" s="149"/>
      <c r="B7" s="146"/>
      <c r="C7" s="146"/>
      <c r="D7" s="27">
        <v>46091</v>
      </c>
      <c r="E7" s="28" t="s">
        <v>296</v>
      </c>
      <c r="F7" s="29">
        <v>0.33333333333333331</v>
      </c>
      <c r="G7" s="29">
        <v>0.54166666666666663</v>
      </c>
      <c r="H7" s="29">
        <v>0.58333333333333337</v>
      </c>
      <c r="I7" s="29">
        <v>0.75</v>
      </c>
      <c r="J7" s="30">
        <f t="shared" si="0"/>
        <v>8.9999999999999982</v>
      </c>
      <c r="K7" s="30">
        <f t="shared" si="2"/>
        <v>0.99999999999999822</v>
      </c>
      <c r="L7" s="81"/>
    </row>
    <row r="8" spans="1:12" ht="15.75" customHeight="1" x14ac:dyDescent="0.35">
      <c r="A8" s="149"/>
      <c r="B8" s="146"/>
      <c r="C8" s="146"/>
      <c r="D8" s="27">
        <v>46092</v>
      </c>
      <c r="E8" s="28" t="s">
        <v>297</v>
      </c>
      <c r="F8" s="29">
        <v>0.3263888888888889</v>
      </c>
      <c r="G8" s="29">
        <v>0.54166666666666663</v>
      </c>
      <c r="H8" s="29">
        <v>0.58333333333333337</v>
      </c>
      <c r="I8" s="29">
        <v>0.75</v>
      </c>
      <c r="J8" s="30">
        <f t="shared" si="0"/>
        <v>9.1666666666666643</v>
      </c>
      <c r="K8" s="32">
        <f t="shared" si="2"/>
        <v>1.1666666666666643</v>
      </c>
      <c r="L8" s="82"/>
    </row>
    <row r="9" spans="1:12" ht="15.75" customHeight="1" x14ac:dyDescent="0.35">
      <c r="A9" s="149"/>
      <c r="B9" s="146"/>
      <c r="C9" s="146"/>
      <c r="D9" s="27"/>
      <c r="E9" s="28"/>
      <c r="F9" s="28"/>
      <c r="G9" s="28"/>
      <c r="H9" s="26"/>
      <c r="I9" s="34" t="s">
        <v>298</v>
      </c>
      <c r="J9" s="35">
        <v>1100</v>
      </c>
      <c r="K9" s="34"/>
      <c r="L9" s="34"/>
    </row>
    <row r="10" spans="1:12" ht="15.75" customHeight="1" x14ac:dyDescent="0.35">
      <c r="A10" s="149"/>
      <c r="B10" s="146"/>
      <c r="C10" s="146"/>
      <c r="D10" s="27"/>
      <c r="E10" s="28"/>
      <c r="F10" s="28"/>
      <c r="G10" s="28"/>
      <c r="H10" s="37"/>
      <c r="I10" s="34" t="s">
        <v>299</v>
      </c>
      <c r="J10" s="35">
        <f>J9*6</f>
        <v>6600</v>
      </c>
      <c r="K10" s="35">
        <f>(J9/8)*(SUM(K2:K8))</f>
        <v>2474.9999999999982</v>
      </c>
      <c r="L10" s="34"/>
    </row>
    <row r="11" spans="1:12" ht="15.75" customHeight="1" x14ac:dyDescent="0.35">
      <c r="A11" s="150"/>
      <c r="B11" s="147"/>
      <c r="C11" s="147"/>
      <c r="D11" s="38"/>
      <c r="E11" s="39"/>
      <c r="F11" s="39"/>
      <c r="G11" s="39"/>
      <c r="H11" s="40"/>
      <c r="I11" s="41" t="s">
        <v>300</v>
      </c>
      <c r="J11" s="42">
        <f>SUM(J10:K10)</f>
        <v>9074.9999999999982</v>
      </c>
      <c r="K11" s="34"/>
      <c r="L11" s="34"/>
    </row>
    <row r="12" spans="1:12" ht="15.75" customHeight="1" x14ac:dyDescent="0.35">
      <c r="A12" s="26"/>
      <c r="B12" s="43"/>
      <c r="C12" s="43"/>
      <c r="D12" s="26"/>
      <c r="E12" s="26"/>
      <c r="F12" s="26"/>
      <c r="G12" s="26"/>
      <c r="H12" s="26"/>
      <c r="I12" s="26"/>
      <c r="J12" s="26"/>
      <c r="K12" s="26"/>
      <c r="L12" s="26"/>
    </row>
    <row r="13" spans="1:12" ht="15.75" customHeight="1" x14ac:dyDescent="0.35">
      <c r="A13" s="79" t="s">
        <v>93</v>
      </c>
      <c r="B13" s="23" t="s">
        <v>94</v>
      </c>
      <c r="C13" s="23" t="s">
        <v>1</v>
      </c>
      <c r="D13" s="24" t="s">
        <v>284</v>
      </c>
      <c r="E13" s="24" t="s">
        <v>285</v>
      </c>
      <c r="F13" s="24" t="s">
        <v>286</v>
      </c>
      <c r="G13" s="24" t="s">
        <v>287</v>
      </c>
      <c r="H13" s="24" t="s">
        <v>286</v>
      </c>
      <c r="I13" s="24" t="s">
        <v>287</v>
      </c>
      <c r="J13" s="24" t="s">
        <v>288</v>
      </c>
      <c r="K13" s="24" t="s">
        <v>234</v>
      </c>
      <c r="L13" s="80" t="s">
        <v>302</v>
      </c>
    </row>
    <row r="14" spans="1:12" ht="15.75" customHeight="1" x14ac:dyDescent="0.35">
      <c r="A14" s="148" t="s">
        <v>33</v>
      </c>
      <c r="B14" s="145" t="s">
        <v>34</v>
      </c>
      <c r="C14" s="145" t="s">
        <v>16</v>
      </c>
      <c r="D14" s="27">
        <v>46086</v>
      </c>
      <c r="E14" s="28" t="s">
        <v>291</v>
      </c>
      <c r="F14" s="29">
        <v>0.29166666666666669</v>
      </c>
      <c r="G14" s="29">
        <v>0.54166666666666663</v>
      </c>
      <c r="H14" s="29">
        <v>0.58333333333333337</v>
      </c>
      <c r="I14" s="29">
        <v>0.875</v>
      </c>
      <c r="J14" s="30">
        <f t="shared" ref="J14:J20" si="3">(((I14-H14)+(G14-F14))*24)</f>
        <v>12.999999999999996</v>
      </c>
      <c r="K14" s="30">
        <f t="shared" ref="K14:K16" si="4">J14-8</f>
        <v>4.9999999999999964</v>
      </c>
      <c r="L14" s="81"/>
    </row>
    <row r="15" spans="1:12" ht="15.75" customHeight="1" x14ac:dyDescent="0.35">
      <c r="A15" s="149"/>
      <c r="B15" s="146"/>
      <c r="C15" s="146"/>
      <c r="D15" s="27">
        <v>46087</v>
      </c>
      <c r="E15" s="28" t="s">
        <v>292</v>
      </c>
      <c r="F15" s="29">
        <v>0.29166666666666669</v>
      </c>
      <c r="G15" s="29">
        <v>0.54166666666666663</v>
      </c>
      <c r="H15" s="29">
        <v>0.58333333333333337</v>
      </c>
      <c r="I15" s="29">
        <v>0.75</v>
      </c>
      <c r="J15" s="30">
        <f t="shared" si="3"/>
        <v>9.9999999999999982</v>
      </c>
      <c r="K15" s="30">
        <f t="shared" si="4"/>
        <v>1.9999999999999982</v>
      </c>
      <c r="L15" s="81"/>
    </row>
    <row r="16" spans="1:12" ht="15.75" customHeight="1" x14ac:dyDescent="0.35">
      <c r="A16" s="149"/>
      <c r="B16" s="146"/>
      <c r="C16" s="146"/>
      <c r="D16" s="27">
        <v>46088</v>
      </c>
      <c r="E16" s="28" t="s">
        <v>293</v>
      </c>
      <c r="F16" s="29">
        <v>0.29166666666666669</v>
      </c>
      <c r="G16" s="29">
        <v>0.54166666666666663</v>
      </c>
      <c r="H16" s="29">
        <v>0.58333333333333337</v>
      </c>
      <c r="I16" s="29">
        <v>0.76041666666666663</v>
      </c>
      <c r="J16" s="30">
        <f t="shared" si="3"/>
        <v>10.249999999999996</v>
      </c>
      <c r="K16" s="30">
        <f t="shared" si="4"/>
        <v>2.2499999999999964</v>
      </c>
      <c r="L16" s="81"/>
    </row>
    <row r="17" spans="1:12" ht="15.75" customHeight="1" x14ac:dyDescent="0.35">
      <c r="A17" s="149"/>
      <c r="B17" s="146"/>
      <c r="C17" s="146"/>
      <c r="D17" s="27">
        <v>46089</v>
      </c>
      <c r="E17" s="28" t="s">
        <v>294</v>
      </c>
      <c r="F17" s="29"/>
      <c r="G17" s="29"/>
      <c r="H17" s="29"/>
      <c r="I17" s="29"/>
      <c r="J17" s="30">
        <f t="shared" si="3"/>
        <v>0</v>
      </c>
      <c r="K17" s="28"/>
      <c r="L17" s="81"/>
    </row>
    <row r="18" spans="1:12" ht="15.75" customHeight="1" x14ac:dyDescent="0.35">
      <c r="A18" s="149"/>
      <c r="B18" s="146"/>
      <c r="C18" s="146"/>
      <c r="D18" s="27">
        <v>46090</v>
      </c>
      <c r="E18" s="28" t="s">
        <v>295</v>
      </c>
      <c r="F18" s="29">
        <v>0.30902777777777779</v>
      </c>
      <c r="G18" s="29">
        <v>0.54166666666666663</v>
      </c>
      <c r="H18" s="29">
        <v>0.58333333333333337</v>
      </c>
      <c r="I18" s="131">
        <v>0.72916666666666663</v>
      </c>
      <c r="J18" s="30">
        <f t="shared" si="3"/>
        <v>9.0833333333333304</v>
      </c>
      <c r="K18" s="30">
        <f t="shared" ref="K18:K20" si="5">J18-8</f>
        <v>1.0833333333333304</v>
      </c>
      <c r="L18" s="81"/>
    </row>
    <row r="19" spans="1:12" ht="15.75" customHeight="1" x14ac:dyDescent="0.35">
      <c r="A19" s="149"/>
      <c r="B19" s="146"/>
      <c r="C19" s="146"/>
      <c r="D19" s="27">
        <v>46091</v>
      </c>
      <c r="E19" s="28" t="s">
        <v>296</v>
      </c>
      <c r="F19" s="29">
        <v>0.3298611111111111</v>
      </c>
      <c r="G19" s="29">
        <v>0.54166666666666663</v>
      </c>
      <c r="H19" s="29">
        <v>0.58333333333333337</v>
      </c>
      <c r="I19" s="29">
        <v>0.76041666666666663</v>
      </c>
      <c r="J19" s="30">
        <f t="shared" si="3"/>
        <v>9.3333333333333304</v>
      </c>
      <c r="K19" s="30">
        <f t="shared" si="5"/>
        <v>1.3333333333333304</v>
      </c>
      <c r="L19" s="81"/>
    </row>
    <row r="20" spans="1:12" ht="15.75" customHeight="1" x14ac:dyDescent="0.35">
      <c r="A20" s="149"/>
      <c r="B20" s="146"/>
      <c r="C20" s="146"/>
      <c r="D20" s="27">
        <v>46092</v>
      </c>
      <c r="E20" s="28" t="s">
        <v>297</v>
      </c>
      <c r="F20" s="29">
        <v>0.31944444444444442</v>
      </c>
      <c r="G20" s="29">
        <v>0.54166666666666663</v>
      </c>
      <c r="H20" s="29">
        <v>0.58333333333333337</v>
      </c>
      <c r="I20" s="29">
        <v>0.75</v>
      </c>
      <c r="J20" s="30">
        <f t="shared" si="3"/>
        <v>9.3333333333333321</v>
      </c>
      <c r="K20" s="32">
        <f t="shared" si="5"/>
        <v>1.3333333333333321</v>
      </c>
      <c r="L20" s="82"/>
    </row>
    <row r="21" spans="1:12" ht="15.75" customHeight="1" x14ac:dyDescent="0.35">
      <c r="A21" s="149"/>
      <c r="B21" s="146"/>
      <c r="C21" s="146"/>
      <c r="D21" s="27"/>
      <c r="E21" s="28"/>
      <c r="F21" s="28"/>
      <c r="G21" s="28"/>
      <c r="H21" s="26"/>
      <c r="I21" s="34" t="s">
        <v>298</v>
      </c>
      <c r="J21" s="35">
        <v>1100</v>
      </c>
      <c r="K21" s="34"/>
      <c r="L21" s="34"/>
    </row>
    <row r="22" spans="1:12" ht="15.75" customHeight="1" x14ac:dyDescent="0.35">
      <c r="A22" s="149"/>
      <c r="B22" s="146"/>
      <c r="C22" s="146"/>
      <c r="D22" s="27"/>
      <c r="E22" s="28"/>
      <c r="F22" s="28"/>
      <c r="G22" s="28"/>
      <c r="H22" s="37"/>
      <c r="I22" s="34" t="s">
        <v>299</v>
      </c>
      <c r="J22" s="35">
        <f>J21*6</f>
        <v>6600</v>
      </c>
      <c r="K22" s="35">
        <f>(J21/8)*(SUM(K14:K20))</f>
        <v>1787.4999999999977</v>
      </c>
      <c r="L22" s="34"/>
    </row>
    <row r="23" spans="1:12" ht="15.75" customHeight="1" x14ac:dyDescent="0.35">
      <c r="A23" s="150"/>
      <c r="B23" s="147"/>
      <c r="C23" s="147"/>
      <c r="D23" s="38"/>
      <c r="E23" s="39"/>
      <c r="F23" s="39"/>
      <c r="G23" s="39"/>
      <c r="H23" s="40"/>
      <c r="I23" s="41" t="s">
        <v>300</v>
      </c>
      <c r="J23" s="42">
        <f>SUM(J22:K22)</f>
        <v>8387.4999999999982</v>
      </c>
      <c r="K23" s="34"/>
      <c r="L23" s="34"/>
    </row>
    <row r="25" spans="1:12" ht="15.75" customHeight="1" x14ac:dyDescent="0.35">
      <c r="A25" s="79" t="s">
        <v>93</v>
      </c>
      <c r="B25" s="23" t="s">
        <v>94</v>
      </c>
      <c r="C25" s="23" t="s">
        <v>1</v>
      </c>
      <c r="D25" s="24" t="s">
        <v>284</v>
      </c>
      <c r="E25" s="24" t="s">
        <v>285</v>
      </c>
      <c r="F25" s="24" t="s">
        <v>286</v>
      </c>
      <c r="G25" s="24" t="s">
        <v>287</v>
      </c>
      <c r="H25" s="24" t="s">
        <v>286</v>
      </c>
      <c r="I25" s="24" t="s">
        <v>287</v>
      </c>
      <c r="J25" s="24" t="s">
        <v>288</v>
      </c>
      <c r="K25" s="24" t="s">
        <v>234</v>
      </c>
      <c r="L25" s="80" t="s">
        <v>302</v>
      </c>
    </row>
    <row r="26" spans="1:12" ht="15.75" customHeight="1" x14ac:dyDescent="0.35">
      <c r="A26" s="148" t="s">
        <v>24</v>
      </c>
      <c r="B26" s="145" t="s">
        <v>25</v>
      </c>
      <c r="C26" s="145" t="s">
        <v>301</v>
      </c>
      <c r="D26" s="27">
        <v>46086</v>
      </c>
      <c r="E26" s="28" t="s">
        <v>291</v>
      </c>
      <c r="F26" s="29">
        <v>0.29166666666666669</v>
      </c>
      <c r="G26" s="29">
        <v>0.54166666666666663</v>
      </c>
      <c r="H26" s="29">
        <v>0.58333333333333337</v>
      </c>
      <c r="I26" s="29">
        <v>0.875</v>
      </c>
      <c r="J26" s="30">
        <f t="shared" ref="J26:J32" si="6">(((I26-H26)+(G26-F26))*24)</f>
        <v>12.999999999999996</v>
      </c>
      <c r="K26" s="30">
        <f t="shared" ref="K26:K28" si="7">J26-8</f>
        <v>4.9999999999999964</v>
      </c>
      <c r="L26" s="81"/>
    </row>
    <row r="27" spans="1:12" ht="15.75" customHeight="1" x14ac:dyDescent="0.35">
      <c r="A27" s="149"/>
      <c r="B27" s="146"/>
      <c r="C27" s="146"/>
      <c r="D27" s="27">
        <v>46087</v>
      </c>
      <c r="E27" s="28" t="s">
        <v>292</v>
      </c>
      <c r="F27" s="29">
        <v>0.29166666666666669</v>
      </c>
      <c r="G27" s="29">
        <v>0.54166666666666663</v>
      </c>
      <c r="H27" s="29">
        <v>0.58333333333333337</v>
      </c>
      <c r="I27" s="29">
        <v>0.75</v>
      </c>
      <c r="J27" s="30">
        <f t="shared" si="6"/>
        <v>9.9999999999999982</v>
      </c>
      <c r="K27" s="30">
        <f t="shared" si="7"/>
        <v>1.9999999999999982</v>
      </c>
      <c r="L27" s="81"/>
    </row>
    <row r="28" spans="1:12" ht="15.75" customHeight="1" x14ac:dyDescent="0.35">
      <c r="A28" s="149"/>
      <c r="B28" s="146"/>
      <c r="C28" s="146"/>
      <c r="D28" s="27">
        <v>46088</v>
      </c>
      <c r="E28" s="28" t="s">
        <v>293</v>
      </c>
      <c r="F28" s="29">
        <v>0.29166666666666669</v>
      </c>
      <c r="G28" s="29">
        <v>0.54166666666666663</v>
      </c>
      <c r="H28" s="29">
        <v>0.58333333333333337</v>
      </c>
      <c r="I28" s="29">
        <v>0.76041666666666663</v>
      </c>
      <c r="J28" s="30">
        <f t="shared" si="6"/>
        <v>10.249999999999996</v>
      </c>
      <c r="K28" s="30">
        <f t="shared" si="7"/>
        <v>2.2499999999999964</v>
      </c>
      <c r="L28" s="81"/>
    </row>
    <row r="29" spans="1:12" ht="15.75" customHeight="1" x14ac:dyDescent="0.35">
      <c r="A29" s="149"/>
      <c r="B29" s="146"/>
      <c r="C29" s="146"/>
      <c r="D29" s="27">
        <v>46089</v>
      </c>
      <c r="E29" s="28" t="s">
        <v>294</v>
      </c>
      <c r="F29" s="29"/>
      <c r="G29" s="29"/>
      <c r="H29" s="29"/>
      <c r="I29" s="29"/>
      <c r="J29" s="30">
        <f t="shared" si="6"/>
        <v>0</v>
      </c>
      <c r="K29" s="28"/>
      <c r="L29" s="81"/>
    </row>
    <row r="30" spans="1:12" ht="15.75" customHeight="1" x14ac:dyDescent="0.35">
      <c r="A30" s="149"/>
      <c r="B30" s="146"/>
      <c r="C30" s="146"/>
      <c r="D30" s="27">
        <v>46090</v>
      </c>
      <c r="E30" s="28" t="s">
        <v>295</v>
      </c>
      <c r="F30" s="29">
        <v>0.30902777777777779</v>
      </c>
      <c r="G30" s="29">
        <v>0.54166666666666663</v>
      </c>
      <c r="H30" s="29">
        <v>0.58333333333333337</v>
      </c>
      <c r="I30" s="131">
        <v>0.72916666666666663</v>
      </c>
      <c r="J30" s="30">
        <f t="shared" si="6"/>
        <v>9.0833333333333304</v>
      </c>
      <c r="K30" s="30">
        <f t="shared" ref="K30:K32" si="8">J30-8</f>
        <v>1.0833333333333304</v>
      </c>
      <c r="L30" s="81"/>
    </row>
    <row r="31" spans="1:12" ht="15.75" customHeight="1" x14ac:dyDescent="0.35">
      <c r="A31" s="149"/>
      <c r="B31" s="146"/>
      <c r="C31" s="146"/>
      <c r="D31" s="27">
        <v>46091</v>
      </c>
      <c r="E31" s="28" t="s">
        <v>296</v>
      </c>
      <c r="F31" s="29">
        <v>0.33333333333333331</v>
      </c>
      <c r="G31" s="29">
        <v>0.54166666666666663</v>
      </c>
      <c r="H31" s="29">
        <v>0.58333333333333337</v>
      </c>
      <c r="I31" s="29">
        <v>0.75694444444444442</v>
      </c>
      <c r="J31" s="30">
        <f t="shared" si="6"/>
        <v>9.1666666666666643</v>
      </c>
      <c r="K31" s="30">
        <f t="shared" si="8"/>
        <v>1.1666666666666643</v>
      </c>
      <c r="L31" s="81"/>
    </row>
    <row r="32" spans="1:12" ht="15.75" customHeight="1" x14ac:dyDescent="0.35">
      <c r="A32" s="149"/>
      <c r="B32" s="146"/>
      <c r="C32" s="146"/>
      <c r="D32" s="27">
        <v>46092</v>
      </c>
      <c r="E32" s="28" t="s">
        <v>297</v>
      </c>
      <c r="F32" s="29">
        <v>0.3263888888888889</v>
      </c>
      <c r="G32" s="29">
        <v>0.54166666666666663</v>
      </c>
      <c r="H32" s="29">
        <v>0.58333333333333337</v>
      </c>
      <c r="I32" s="29">
        <v>0.75</v>
      </c>
      <c r="J32" s="30">
        <f t="shared" si="6"/>
        <v>9.1666666666666643</v>
      </c>
      <c r="K32" s="32">
        <f t="shared" si="8"/>
        <v>1.1666666666666643</v>
      </c>
      <c r="L32" s="82"/>
    </row>
    <row r="33" spans="1:12" ht="15.75" customHeight="1" x14ac:dyDescent="0.35">
      <c r="A33" s="149"/>
      <c r="B33" s="146"/>
      <c r="C33" s="146"/>
      <c r="D33" s="27"/>
      <c r="E33" s="28"/>
      <c r="F33" s="28"/>
      <c r="G33" s="28"/>
      <c r="H33" s="26"/>
      <c r="I33" s="34" t="s">
        <v>298</v>
      </c>
      <c r="J33" s="35">
        <v>880</v>
      </c>
      <c r="K33" s="34"/>
      <c r="L33" s="34"/>
    </row>
    <row r="34" spans="1:12" ht="15.75" customHeight="1" x14ac:dyDescent="0.35">
      <c r="A34" s="149"/>
      <c r="B34" s="146"/>
      <c r="C34" s="146"/>
      <c r="D34" s="27"/>
      <c r="E34" s="28"/>
      <c r="F34" s="28"/>
      <c r="G34" s="28"/>
      <c r="H34" s="37"/>
      <c r="I34" s="34" t="s">
        <v>299</v>
      </c>
      <c r="J34" s="35">
        <f>J33*6</f>
        <v>5280</v>
      </c>
      <c r="K34" s="35">
        <f>(J33/8)*(SUM(K26:K32))</f>
        <v>1393.3333333333314</v>
      </c>
      <c r="L34" s="34"/>
    </row>
    <row r="35" spans="1:12" ht="15.75" customHeight="1" x14ac:dyDescent="0.35">
      <c r="A35" s="150"/>
      <c r="B35" s="147"/>
      <c r="C35" s="147"/>
      <c r="D35" s="38"/>
      <c r="E35" s="39"/>
      <c r="F35" s="39"/>
      <c r="G35" s="39"/>
      <c r="H35" s="40"/>
      <c r="I35" s="41" t="s">
        <v>300</v>
      </c>
      <c r="J35" s="42">
        <f>SUM(J34:K34)</f>
        <v>6673.3333333333312</v>
      </c>
      <c r="K35" s="34"/>
      <c r="L35" s="34"/>
    </row>
    <row r="37" spans="1:12" ht="46.5" x14ac:dyDescent="0.35">
      <c r="A37" s="141" t="s">
        <v>93</v>
      </c>
      <c r="B37" s="86" t="s">
        <v>94</v>
      </c>
      <c r="C37" s="86" t="s">
        <v>1</v>
      </c>
      <c r="D37" s="141" t="s">
        <v>284</v>
      </c>
      <c r="E37" s="141" t="s">
        <v>285</v>
      </c>
      <c r="F37" s="141" t="s">
        <v>286</v>
      </c>
      <c r="G37" s="141" t="s">
        <v>287</v>
      </c>
      <c r="H37" s="141" t="s">
        <v>286</v>
      </c>
      <c r="I37" s="141" t="s">
        <v>287</v>
      </c>
      <c r="J37" s="141" t="s">
        <v>288</v>
      </c>
      <c r="K37" s="141" t="s">
        <v>234</v>
      </c>
      <c r="L37" s="141" t="s">
        <v>302</v>
      </c>
    </row>
    <row r="38" spans="1:12" ht="23.25" x14ac:dyDescent="0.35">
      <c r="A38" s="155" t="s">
        <v>364</v>
      </c>
      <c r="B38" s="145" t="s">
        <v>365</v>
      </c>
      <c r="C38" s="145" t="s">
        <v>301</v>
      </c>
      <c r="D38" s="142">
        <v>46093</v>
      </c>
      <c r="E38" s="28" t="s">
        <v>291</v>
      </c>
      <c r="F38" s="29"/>
      <c r="G38" s="29"/>
      <c r="H38" s="29"/>
      <c r="I38" s="29"/>
      <c r="J38" s="30">
        <f t="shared" ref="J38:J44" si="9">(((I38-H38)+(G38-F38))*24)</f>
        <v>0</v>
      </c>
      <c r="K38" s="28">
        <v>0</v>
      </c>
      <c r="L38" s="28">
        <v>750</v>
      </c>
    </row>
    <row r="39" spans="1:12" ht="23.25" x14ac:dyDescent="0.35">
      <c r="A39" s="146"/>
      <c r="B39" s="146"/>
      <c r="C39" s="146"/>
      <c r="D39" s="142">
        <v>46094</v>
      </c>
      <c r="E39" s="28" t="s">
        <v>292</v>
      </c>
      <c r="F39" s="29">
        <v>0.29166666666666669</v>
      </c>
      <c r="G39" s="29">
        <v>0.54166666666666663</v>
      </c>
      <c r="H39" s="29">
        <v>0.58333333333333337</v>
      </c>
      <c r="I39" s="29">
        <v>0.75</v>
      </c>
      <c r="J39" s="30">
        <f t="shared" si="9"/>
        <v>9.9999999999999982</v>
      </c>
      <c r="K39" s="30">
        <f t="shared" ref="K39:K40" si="10">J39-8</f>
        <v>1.9999999999999982</v>
      </c>
      <c r="L39" s="28">
        <v>500</v>
      </c>
    </row>
    <row r="40" spans="1:12" ht="23.25" x14ac:dyDescent="0.35">
      <c r="A40" s="146"/>
      <c r="B40" s="146"/>
      <c r="C40" s="146"/>
      <c r="D40" s="142">
        <v>46095</v>
      </c>
      <c r="E40" s="28" t="s">
        <v>293</v>
      </c>
      <c r="F40" s="29">
        <v>0.29166666666666669</v>
      </c>
      <c r="G40" s="29">
        <v>0.54166666666666663</v>
      </c>
      <c r="H40" s="29">
        <v>0.58333333333333337</v>
      </c>
      <c r="I40" s="29">
        <v>0.75</v>
      </c>
      <c r="J40" s="30">
        <f t="shared" si="9"/>
        <v>9.9999999999999982</v>
      </c>
      <c r="K40" s="30">
        <f t="shared" si="10"/>
        <v>1.9999999999999982</v>
      </c>
      <c r="L40" s="28">
        <v>1000</v>
      </c>
    </row>
    <row r="41" spans="1:12" ht="23.25" x14ac:dyDescent="0.35">
      <c r="A41" s="146"/>
      <c r="B41" s="146"/>
      <c r="C41" s="146"/>
      <c r="D41" s="142">
        <v>46096</v>
      </c>
      <c r="E41" s="28" t="s">
        <v>294</v>
      </c>
      <c r="F41" s="29"/>
      <c r="G41" s="29"/>
      <c r="H41" s="29"/>
      <c r="I41" s="29"/>
      <c r="J41" s="30">
        <f t="shared" si="9"/>
        <v>0</v>
      </c>
      <c r="K41" s="28"/>
      <c r="L41" s="28">
        <v>2000</v>
      </c>
    </row>
    <row r="42" spans="1:12" ht="23.25" x14ac:dyDescent="0.35">
      <c r="A42" s="146"/>
      <c r="B42" s="146"/>
      <c r="C42" s="146"/>
      <c r="D42" s="142">
        <v>46097</v>
      </c>
      <c r="E42" s="28" t="s">
        <v>295</v>
      </c>
      <c r="F42" s="29">
        <v>0.29166666666666669</v>
      </c>
      <c r="G42" s="29">
        <v>0.54166666666666663</v>
      </c>
      <c r="H42" s="29">
        <v>0.58333333333333337</v>
      </c>
      <c r="I42" s="29">
        <v>0.75</v>
      </c>
      <c r="J42" s="30">
        <f t="shared" si="9"/>
        <v>9.9999999999999982</v>
      </c>
      <c r="K42" s="30">
        <f t="shared" ref="K42:K44" si="11">J42-8</f>
        <v>1.9999999999999982</v>
      </c>
      <c r="L42" s="28"/>
    </row>
    <row r="43" spans="1:12" ht="23.25" x14ac:dyDescent="0.35">
      <c r="A43" s="146"/>
      <c r="B43" s="146"/>
      <c r="C43" s="146"/>
      <c r="D43" s="142">
        <v>46098</v>
      </c>
      <c r="E43" s="28" t="s">
        <v>296</v>
      </c>
      <c r="F43" s="29">
        <v>0.29166666666666669</v>
      </c>
      <c r="G43" s="29">
        <v>0.54166666666666663</v>
      </c>
      <c r="H43" s="29">
        <v>0.58333333333333337</v>
      </c>
      <c r="I43" s="29">
        <v>0.75</v>
      </c>
      <c r="J43" s="30">
        <f t="shared" si="9"/>
        <v>9.9999999999999982</v>
      </c>
      <c r="K43" s="30">
        <f t="shared" si="11"/>
        <v>1.9999999999999982</v>
      </c>
      <c r="L43" s="28"/>
    </row>
    <row r="44" spans="1:12" ht="23.25" x14ac:dyDescent="0.35">
      <c r="A44" s="146"/>
      <c r="B44" s="146"/>
      <c r="C44" s="146"/>
      <c r="D44" s="142">
        <v>46099</v>
      </c>
      <c r="E44" s="28" t="s">
        <v>297</v>
      </c>
      <c r="F44" s="29">
        <v>0.29166666666666669</v>
      </c>
      <c r="G44" s="29">
        <v>0.54166666666666663</v>
      </c>
      <c r="H44" s="29">
        <v>0.58333333333333337</v>
      </c>
      <c r="I44" s="29">
        <v>0.66666666666666663</v>
      </c>
      <c r="J44" s="30">
        <f t="shared" si="9"/>
        <v>7.9999999999999964</v>
      </c>
      <c r="K44" s="30">
        <f t="shared" si="11"/>
        <v>0</v>
      </c>
      <c r="L44" s="28"/>
    </row>
    <row r="45" spans="1:12" ht="23.25" x14ac:dyDescent="0.35">
      <c r="A45" s="146"/>
      <c r="B45" s="146"/>
      <c r="C45" s="146"/>
      <c r="D45" s="142"/>
      <c r="E45" s="28"/>
      <c r="F45" s="28"/>
      <c r="G45" s="28"/>
      <c r="H45" s="28"/>
      <c r="I45" s="28" t="s">
        <v>298</v>
      </c>
      <c r="J45" s="143">
        <v>1200</v>
      </c>
      <c r="K45" s="28"/>
      <c r="L45" s="28"/>
    </row>
    <row r="46" spans="1:12" ht="23.25" x14ac:dyDescent="0.35">
      <c r="A46" s="146"/>
      <c r="B46" s="146"/>
      <c r="C46" s="146"/>
      <c r="D46" s="142"/>
      <c r="E46" s="28"/>
      <c r="F46" s="28"/>
      <c r="G46" s="28"/>
      <c r="H46" s="28"/>
      <c r="I46" s="28" t="s">
        <v>299</v>
      </c>
      <c r="J46" s="143">
        <f>J45*5</f>
        <v>6000</v>
      </c>
      <c r="K46" s="143">
        <f>(J45/8)*(SUM(K38:K44))</f>
        <v>1199.9999999999989</v>
      </c>
      <c r="L46" s="28">
        <f>SUM(L38:L41)</f>
        <v>4250</v>
      </c>
    </row>
    <row r="47" spans="1:12" ht="23.25" x14ac:dyDescent="0.35">
      <c r="A47" s="156"/>
      <c r="B47" s="156"/>
      <c r="C47" s="156"/>
      <c r="D47" s="28"/>
      <c r="E47" s="28"/>
      <c r="F47" s="28"/>
      <c r="G47" s="28"/>
      <c r="H47" s="28"/>
      <c r="I47" s="141" t="s">
        <v>300</v>
      </c>
      <c r="J47" s="144">
        <f>SUM(J46:K46)-L46</f>
        <v>2949.9999999999991</v>
      </c>
      <c r="K47" s="28"/>
      <c r="L47" s="28"/>
    </row>
  </sheetData>
  <mergeCells count="12">
    <mergeCell ref="A2:A11"/>
    <mergeCell ref="B2:B11"/>
    <mergeCell ref="C2:C11"/>
    <mergeCell ref="A14:A23"/>
    <mergeCell ref="B14:B23"/>
    <mergeCell ref="C14:C23"/>
    <mergeCell ref="B26:B35"/>
    <mergeCell ref="C26:C35"/>
    <mergeCell ref="A38:A47"/>
    <mergeCell ref="B38:B47"/>
    <mergeCell ref="C38:C47"/>
    <mergeCell ref="A26:A35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 Master List</vt:lpstr>
      <vt:lpstr>Row_House</vt:lpstr>
      <vt:lpstr>193 - 253</vt:lpstr>
      <vt:lpstr>Payroll Summary</vt:lpstr>
      <vt:lpstr>payslip extract v1</vt:lpstr>
      <vt:lpstr>payslip extract v2</vt:lpstr>
      <vt:lpstr>123 - 183</vt:lpstr>
      <vt:lpstr>53 - 113</vt:lpstr>
      <vt:lpstr>Payroll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Ronald</cp:lastModifiedBy>
  <dcterms:modified xsi:type="dcterms:W3CDTF">2026-05-07T16:32:40Z</dcterms:modified>
</cp:coreProperties>
</file>